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stors Details" sheetId="1" r:id="rId5"/>
    <sheet state="visible" name="Investor Portfolio Overview" sheetId="2" r:id="rId6"/>
    <sheet state="visible" name="Payout Schedule" sheetId="3" r:id="rId7"/>
    <sheet state="visible" name="NATIONAL HOLIDAYS" sheetId="4" r:id="rId8"/>
  </sheets>
  <definedNames/>
  <calcPr/>
</workbook>
</file>

<file path=xl/sharedStrings.xml><?xml version="1.0" encoding="utf-8"?>
<sst xmlns="http://schemas.openxmlformats.org/spreadsheetml/2006/main" count="639" uniqueCount="176">
  <si>
    <t>Czarlie &amp; Ron Investments — Consolidated Investor Portfolio Overview</t>
  </si>
  <si>
    <t>Czarlie &amp; Ron Investments — Investor Management Dashboard</t>
  </si>
  <si>
    <t>Select Investor Partner:</t>
  </si>
  <si>
    <t>Overview of capital, return liabilities, and active 36-month investment agreements.</t>
  </si>
  <si>
    <t>TOTAL CAPITAL INVESTED</t>
  </si>
  <si>
    <t>Czarlie &amp; Ron Investments — 36-Month Master Payout Schedule</t>
  </si>
  <si>
    <t>PHILIPPINE NATIONAL HOLIDAYS (2026–2030)</t>
  </si>
  <si>
    <t>Official 5-Year Master Calendar for Fund Operations, Investment Tenor, and Banking Payout Settlement Schedules</t>
  </si>
  <si>
    <t>TOTAL HOLIDAYS</t>
  </si>
  <si>
    <t>Contract Term: 36 Months | Payout Due Date: Approximately 81-Day Initial Operational Cycle (60 Days Shipping, 2 Weeks Sorting and Preparation, 1 Week Customer Collection); Monthly Recurring Thereafter (Adjusted for Weekends and Philippine Holidays) | Return Rate: 5.0% Monthly</t>
  </si>
  <si>
    <t>REGULAR HOLIDAYS</t>
  </si>
  <si>
    <t>Available Contracts</t>
  </si>
  <si>
    <t>Carrei Cyrell R. Mabanag</t>
  </si>
  <si>
    <t>MONTHLY RETURN LIABILITY</t>
  </si>
  <si>
    <t>SPECIAL NON-WORKING DAYS</t>
  </si>
  <si>
    <t>UNIQUE INVESTORS</t>
  </si>
  <si>
    <t>Investor ID</t>
  </si>
  <si>
    <t>SPECIAL WORKING DAYS</t>
  </si>
  <si>
    <t>Investor Name:</t>
  </si>
  <si>
    <t>TOTAL ACTIVE TRANCHES</t>
  </si>
  <si>
    <t>MONTHLY RETURN RATE</t>
  </si>
  <si>
    <t>Contract Start:</t>
  </si>
  <si>
    <t>ACTIVE CONTRACTS</t>
  </si>
  <si>
    <t>LIFETIME PROJECTED PAYOUTS</t>
  </si>
  <si>
    <t>5-Year Master Horizon (2026–2030)</t>
  </si>
  <si>
    <t>Investor ID:</t>
  </si>
  <si>
    <t>Full Banking &amp; Payout Halt</t>
  </si>
  <si>
    <t>Trading &amp; Clearing Settlement Halt</t>
  </si>
  <si>
    <t>Standard Banking Operations</t>
  </si>
  <si>
    <t>Total Projected Monthly Returns:</t>
  </si>
  <si>
    <t>Date</t>
  </si>
  <si>
    <t>Principal Pool</t>
  </si>
  <si>
    <t>Year</t>
  </si>
  <si>
    <t>Holiday Name</t>
  </si>
  <si>
    <t>Day of Week</t>
  </si>
  <si>
    <t>Holiday Type</t>
  </si>
  <si>
    <t>Banking Status</t>
  </si>
  <si>
    <t>Active Commitments</t>
  </si>
  <si>
    <t>Statutory Basis</t>
  </si>
  <si>
    <t>Registered Partners</t>
  </si>
  <si>
    <t>Active Tranches</t>
  </si>
  <si>
    <t>Contractual Standard</t>
  </si>
  <si>
    <t>Contract Number:</t>
  </si>
  <si>
    <t>CR-2026-003</t>
  </si>
  <si>
    <t>Total Status Paid:</t>
  </si>
  <si>
    <t>New Year's Day</t>
  </si>
  <si>
    <t>Master Investor Directory</t>
  </si>
  <si>
    <t>Investor Name</t>
  </si>
  <si>
    <t>Regular Holiday</t>
  </si>
  <si>
    <t>Address</t>
  </si>
  <si>
    <t>Contact Email</t>
  </si>
  <si>
    <t>Cumulative Principal Invested</t>
  </si>
  <si>
    <t>Phone</t>
  </si>
  <si>
    <t>Investment Type</t>
  </si>
  <si>
    <t>Contract Number</t>
  </si>
  <si>
    <t>Closed</t>
  </si>
  <si>
    <t>Contract Start Date</t>
  </si>
  <si>
    <t>Month #</t>
  </si>
  <si>
    <t>R.A. 9492 / Proclamation</t>
  </si>
  <si>
    <t>5.0% Monthly Commitment</t>
  </si>
  <si>
    <t>Agreements in Force</t>
  </si>
  <si>
    <t>Investment Capital (PHP)</t>
  </si>
  <si>
    <t>Monthly Rate</t>
  </si>
  <si>
    <t>Contract Term</t>
  </si>
  <si>
    <t>Disbursement Due Date</t>
  </si>
  <si>
    <t>Chinese New Year</t>
  </si>
  <si>
    <t>Monthly Return (PHP)</t>
  </si>
  <si>
    <t>31 Active Payout Cycles (155%)</t>
  </si>
  <si>
    <t>Illustrative Monthly Return (5%)</t>
  </si>
  <si>
    <t>Maturity Date</t>
  </si>
  <si>
    <t>Special Non-Working Day</t>
  </si>
  <si>
    <t>Contract Condition / Rule Applied</t>
  </si>
  <si>
    <t>Net Payout Amount (PHP)</t>
  </si>
  <si>
    <t>Presidential Proclamation</t>
  </si>
  <si>
    <t>Disbursement Status</t>
  </si>
  <si>
    <t>Payment Date / Reference</t>
  </si>
  <si>
    <t>Bank Name</t>
  </si>
  <si>
    <t>Notes / Remarks</t>
  </si>
  <si>
    <t>EDSA People Power Anniversary</t>
  </si>
  <si>
    <t>Account Name</t>
  </si>
  <si>
    <t>Contract Iterations &amp; Investment Agreements</t>
  </si>
  <si>
    <t>Bank Account #</t>
  </si>
  <si>
    <t>Special Working Day</t>
  </si>
  <si>
    <t>Contract Status</t>
  </si>
  <si>
    <t>Open</t>
  </si>
  <si>
    <t>Maundy Thursday</t>
  </si>
  <si>
    <t>Month 1</t>
  </si>
  <si>
    <t>Good Friday</t>
  </si>
  <si>
    <t>INV-001</t>
  </si>
  <si>
    <t>Investment Iteration</t>
  </si>
  <si>
    <t>Janice Capinlac</t>
  </si>
  <si>
    <t>Araw ng Kagitingan</t>
  </si>
  <si>
    <t>59 Cambridge st. Brgy E. Rodriguez Quezon City</t>
  </si>
  <si>
    <t>jajacapinlac@gmail.com</t>
  </si>
  <si>
    <t>Labor Day</t>
  </si>
  <si>
    <t>Independence Day</t>
  </si>
  <si>
    <t>Initial Investment</t>
  </si>
  <si>
    <t>CR-2026-001</t>
  </si>
  <si>
    <t>Ninoy Aquino Day</t>
  </si>
  <si>
    <t>R.A. 9256 / Proclamation</t>
  </si>
  <si>
    <t>National Heroes Day</t>
  </si>
  <si>
    <t>All Saints' Day</t>
  </si>
  <si>
    <t>36 Months</t>
  </si>
  <si>
    <t>All Souls' Day</t>
  </si>
  <si>
    <t>Bonifacio Day</t>
  </si>
  <si>
    <t>Feast of the Immaculate Conception</t>
  </si>
  <si>
    <t>R.A. 10966</t>
  </si>
  <si>
    <t>Christmas Eve</t>
  </si>
  <si>
    <t>BDO</t>
  </si>
  <si>
    <t>Michelle C Sablay</t>
  </si>
  <si>
    <t>Christmas Day</t>
  </si>
  <si>
    <t>Rizal Day</t>
  </si>
  <si>
    <t>Pending</t>
  </si>
  <si>
    <t>INV-002</t>
  </si>
  <si>
    <t>Proclamation No. 1427</t>
  </si>
  <si>
    <t>Block A, Phase 2, Lot 7 Christine Village, Cauayan City, Isabela</t>
  </si>
  <si>
    <t>carreimabanag@gmail.com</t>
  </si>
  <si>
    <t>Metrobank</t>
  </si>
  <si>
    <t>Active</t>
  </si>
  <si>
    <t>INV-003</t>
  </si>
  <si>
    <t>Kristal Gayle Aguinaldo</t>
  </si>
  <si>
    <t>8 Coolehill Crescent Belfast, BT36 5AB</t>
  </si>
  <si>
    <t>kristalgayleaguinaldo24@gmail.com</t>
  </si>
  <si>
    <t>CR-2026-004</t>
  </si>
  <si>
    <t>Proclamation No. 1427 / R.A. 10966</t>
  </si>
  <si>
    <t>PORTFOLIO TOTAL</t>
  </si>
  <si>
    <t>Black Saturday</t>
  </si>
  <si>
    <t>Month 2</t>
  </si>
  <si>
    <t>Section 4 Deferral (Initial 2 Months)</t>
  </si>
  <si>
    <t>Deferred (Mo 1-2)</t>
  </si>
  <si>
    <t>-</t>
  </si>
  <si>
    <t>Initial setup grace period</t>
  </si>
  <si>
    <t>Month 3</t>
  </si>
  <si>
    <t>Standard Monthly Payout</t>
  </si>
  <si>
    <t/>
  </si>
  <si>
    <t>Regular monthly payout</t>
  </si>
  <si>
    <t>Month 4</t>
  </si>
  <si>
    <t>Month 5</t>
  </si>
  <si>
    <t>Section 5 Waiver (March CNY Zero Return)</t>
  </si>
  <si>
    <t>Waived (CNY March)</t>
  </si>
  <si>
    <t>March Return Waived — Section 5</t>
  </si>
  <si>
    <t>Month 6</t>
  </si>
  <si>
    <t>Month 7</t>
  </si>
  <si>
    <t>Month 8</t>
  </si>
  <si>
    <t>Month 9</t>
  </si>
  <si>
    <t>Month 10</t>
  </si>
  <si>
    <t>Month 11</t>
  </si>
  <si>
    <t>Month 12</t>
  </si>
  <si>
    <t>End of Year 1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</si>
  <si>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</si>
  <si>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</si>
  <si>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</si>
  <si>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</si>
  <si>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</si>
  <si>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</si>
  <si>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</si>
  <si>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</si>
  <si>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</si>
  <si>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</si>
  <si>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</si>
  <si>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</si>
  <si>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End of Year 2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</si>
  <si>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</si>
  <si>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</si>
  <si>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</si>
  <si>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</si>
  <si>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</si>
  <si>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</si>
  <si>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</si>
  <si>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</si>
  <si>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</si>
  <si>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</si>
  <si>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</si>
  <si>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</si>
  <si>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Final Scheduled Monthly Return — Return of Original Investment Handled Separately Under Section 8</t>
  </si>
  <si>
    <t>MONTHLY RETURN SUMMARY — ORIGINAL INVESTMENT EXCLUDED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</si>
</sst>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₱&quot;#,##0.00"/>
    <numFmt numFmtId="165" formatCode="yyyy-mm-dd"/>
    <numFmt numFmtId="166" formatCode="0.0%"/>
    <numFmt numFmtId="167" formatCode="₱#,##0.00"/>
    <numFmt numFmtId="168" formatCode="0000"/>
    <numFmt numFmtId="169" formatCode="yyyy&quot;-&quot;mmm&quot;-&quot;dd&quot; &quot;ddd"/>
  </numFmts>
  <fonts count="42">
    <font>
      <sz val="10.0"/>
      <color rgb="FF000000"/>
      <name val="Arial"/>
      <scheme val="minor"/>
    </font>
    <font>
      <sz val="10.0"/>
      <color rgb="FF181C1F"/>
      <name val="Comfortaa"/>
    </font>
    <font>
      <sz val="10.0"/>
      <color rgb="FF181C1F"/>
      <name val="Google Sans"/>
    </font>
    <font>
      <b/>
      <sz val="14.0"/>
      <color rgb="FF1E3A8A"/>
      <name val="Google Sans"/>
    </font>
    <font>
      <b/>
      <sz val="16.0"/>
      <color rgb="FF244677"/>
      <name val="Comfortaa"/>
    </font>
    <font>
      <b/>
      <sz val="16.0"/>
      <color rgb="FF244677"/>
      <name val="Google Sans"/>
    </font>
    <font>
      <b/>
      <sz val="10.0"/>
      <color rgb="FF333F59"/>
      <name val="Google Sans"/>
    </font>
    <font>
      <color theme="1"/>
      <name val="Arial"/>
      <scheme val="minor"/>
    </font>
    <font>
      <sz val="10.0"/>
      <color rgb="FF74777E"/>
      <name val="Google Sans"/>
    </font>
    <font>
      <color theme="1"/>
      <name val="Comfortaa"/>
    </font>
    <font>
      <b/>
      <sz val="18.0"/>
      <color rgb="FF244677"/>
      <name val="Comfortaa"/>
    </font>
    <font>
      <b/>
      <sz val="9.0"/>
      <color rgb="FF3D4657"/>
      <name val="Google Sans"/>
    </font>
    <font>
      <b/>
      <sz val="16.0"/>
      <color rgb="FF1E3989"/>
      <name val="Comfortaa"/>
    </font>
    <font/>
    <font>
      <sz val="10.0"/>
      <color rgb="FF5A6175"/>
      <name val="Comfortaa"/>
    </font>
    <font>
      <sz val="10.0"/>
      <color rgb="FF74777E"/>
      <name val="Comfortaa"/>
    </font>
    <font>
      <b/>
      <sz val="9.0"/>
      <color rgb="FF5A6175"/>
      <name val="Comfortaa"/>
    </font>
    <font>
      <b/>
      <sz val="9.0"/>
      <color rgb="FF4C4C4C"/>
      <name val="Comfortaa"/>
    </font>
    <font>
      <b/>
      <sz val="11.0"/>
      <color rgb="FF1E3A8A"/>
      <name val="Google Sans"/>
    </font>
    <font>
      <sz val="11.0"/>
      <color rgb="FF181C1F"/>
      <name val="Comfortaa"/>
    </font>
    <font>
      <b/>
      <sz val="10.0"/>
      <color rgb="FF333E58"/>
      <name val="Google Sans"/>
    </font>
    <font>
      <b/>
      <sz val="11.0"/>
      <color rgb="FF234677"/>
      <name val="Comfortaa"/>
    </font>
    <font>
      <b/>
      <sz val="11.0"/>
      <color rgb="FF244677"/>
      <name val="Comfortaa"/>
    </font>
    <font>
      <b/>
      <sz val="18.0"/>
      <color rgb="FF1E3989"/>
      <name val="Comfortaa"/>
    </font>
    <font>
      <b/>
      <sz val="11.0"/>
      <color rgb="FF434343"/>
      <name val="Google Sans"/>
    </font>
    <font>
      <b/>
      <sz val="9.0"/>
      <color rgb="FF333F59"/>
      <name val="Google Sans"/>
    </font>
    <font>
      <sz val="11.0"/>
      <color theme="1"/>
      <name val="Comfortaa"/>
    </font>
    <font>
      <sz val="8.0"/>
      <color rgb="FF707C95"/>
      <name val="Comfortaa"/>
    </font>
    <font>
      <b/>
      <sz val="15.0"/>
      <color rgb="FF1E3A8A"/>
      <name val="Google Sans"/>
    </font>
    <font>
      <b/>
      <sz val="16.0"/>
      <color rgb="FF1A3B73"/>
      <name val="Google Sans"/>
    </font>
    <font>
      <b/>
      <sz val="10.0"/>
      <color rgb="FFFFFFFF"/>
      <name val="Comfortaa"/>
    </font>
    <font>
      <i/>
      <sz val="9.0"/>
      <color rgb="FF74777E"/>
      <name val="Google Sans"/>
    </font>
    <font>
      <sz val="10.0"/>
      <color rgb="FF434343"/>
      <name val="Comfortaa"/>
    </font>
    <font>
      <b/>
      <sz val="10.0"/>
      <color rgb="FF434343"/>
      <name val="Comfortaa"/>
    </font>
    <font>
      <b/>
      <sz val="13.0"/>
      <color rgb="FF244677"/>
      <name val="Google Sans"/>
    </font>
    <font>
      <b/>
      <sz val="10.0"/>
      <color rgb="FFFFFFFF"/>
      <name val="Google Sans"/>
    </font>
    <font>
      <sz val="8.0"/>
      <color rgb="FF66728C"/>
      <name val="Google Sans"/>
    </font>
    <font>
      <sz val="9.0"/>
      <color rgb="FF5A6175"/>
      <name val="Comfortaa"/>
    </font>
    <font>
      <sz val="10.0"/>
      <color theme="1"/>
      <name val="Comfortaa"/>
    </font>
    <font>
      <sz val="10.0"/>
      <color theme="1"/>
      <name val="Google Sans"/>
    </font>
    <font>
      <b/>
      <sz val="10.0"/>
      <color rgb="FF181C1F"/>
      <name val="Google Sans"/>
    </font>
    <font>
      <b/>
      <sz val="10.0"/>
      <color rgb="FF181C1F"/>
      <name val="Comfortaa"/>
    </font>
  </fonts>
  <fills count="13">
    <fill>
      <patternFill patternType="none"/>
    </fill>
    <fill>
      <patternFill patternType="lightGray"/>
    </fill>
    <fill>
      <patternFill patternType="solid">
        <fgColor rgb="FFEDF1FB"/>
        <bgColor rgb="FFEDF1FB"/>
      </patternFill>
    </fill>
    <fill>
      <patternFill patternType="solid">
        <fgColor rgb="FFF0F5F8"/>
        <bgColor rgb="FFF0F5F8"/>
      </patternFill>
    </fill>
    <fill>
      <patternFill patternType="solid">
        <fgColor rgb="FFF2F2F2"/>
        <bgColor rgb="FFF2F2F2"/>
      </patternFill>
    </fill>
    <fill>
      <patternFill patternType="solid">
        <fgColor rgb="FFEEF6FF"/>
        <bgColor rgb="FFEEF6FF"/>
      </patternFill>
    </fill>
    <fill>
      <patternFill patternType="solid">
        <fgColor rgb="FFEDF2FC"/>
        <bgColor rgb="FFEDF2FC"/>
      </patternFill>
    </fill>
    <fill>
      <patternFill patternType="solid">
        <fgColor rgb="FFF5F3FF"/>
        <bgColor rgb="FFF5F3FF"/>
      </patternFill>
    </fill>
    <fill>
      <patternFill patternType="solid">
        <fgColor rgb="FFF8F9FB"/>
        <bgColor rgb="FFF8F9FB"/>
      </patternFill>
    </fill>
    <fill>
      <patternFill patternType="solid">
        <fgColor rgb="FFECF0FA"/>
        <bgColor rgb="FFECF0FA"/>
      </patternFill>
    </fill>
    <fill>
      <patternFill patternType="solid">
        <fgColor rgb="FFECF1FB"/>
        <bgColor rgb="FFECF1FB"/>
      </patternFill>
    </fill>
    <fill>
      <patternFill patternType="solid">
        <fgColor rgb="FFEEF3FA"/>
        <bgColor rgb="FFEEF3FA"/>
      </patternFill>
    </fill>
    <fill>
      <patternFill patternType="solid">
        <fgColor rgb="FF3E5F90"/>
        <bgColor rgb="FF3E5F90"/>
      </patternFill>
    </fill>
  </fills>
  <borders count="58">
    <border/>
    <border>
      <left style="thin">
        <color rgb="FFC6D1E2"/>
      </left>
      <top style="thin">
        <color rgb="FFC6D1E2"/>
      </top>
    </border>
    <border>
      <top style="thin">
        <color rgb="FFC6D1E2"/>
      </top>
    </border>
    <border>
      <left style="thin">
        <color rgb="FFCAD4E0"/>
      </left>
      <top style="thin">
        <color rgb="FFCAD4E0"/>
      </top>
    </border>
    <border>
      <right style="thin">
        <color rgb="FFCAD4E0"/>
      </right>
      <top style="thin">
        <color rgb="FFCAD4E0"/>
      </top>
    </border>
    <border>
      <right style="thin">
        <color rgb="FFC6D1E2"/>
      </right>
      <top style="thin">
        <color rgb="FFC6D1E2"/>
      </top>
    </border>
    <border>
      <left style="thin">
        <color rgb="FFB2BFD3"/>
      </left>
      <right style="thin">
        <color rgb="FFB2BFD3"/>
      </right>
      <top style="thin">
        <color rgb="FFB2BFD3"/>
      </top>
      <bottom style="thin">
        <color rgb="FFB2BFD3"/>
      </bottom>
    </border>
    <border>
      <left style="thin">
        <color rgb="FFCAD4E0"/>
      </left>
      <right style="thin">
        <color rgb="FFCAD4E0"/>
      </right>
      <top style="thin">
        <color rgb="FFCAD4E0"/>
      </top>
    </border>
    <border>
      <left style="thin">
        <color rgb="FFCAD4E0"/>
      </left>
    </border>
    <border>
      <left style="thin">
        <color rgb="FFC6D1E2"/>
      </left>
    </border>
    <border>
      <right style="thin">
        <color rgb="FFCAD4E0"/>
      </right>
    </border>
    <border>
      <right style="thin">
        <color rgb="FFC6D1E2"/>
      </right>
    </border>
    <border>
      <left style="thin">
        <color rgb="FFB1BED2"/>
      </left>
      <right style="thin">
        <color rgb="FFB1BED2"/>
      </right>
      <top style="thin">
        <color rgb="FFB1BED2"/>
      </top>
      <bottom style="thin">
        <color rgb="FFB1BED2"/>
      </bottom>
    </border>
    <border>
      <left style="thin">
        <color rgb="FFCCD8EA"/>
      </left>
      <top style="thin">
        <color rgb="FFCCD8EA"/>
      </top>
    </border>
    <border>
      <right style="thin">
        <color rgb="FFCCD8EA"/>
      </right>
      <top style="thin">
        <color rgb="FFCCD8EA"/>
      </top>
    </border>
    <border>
      <top style="thin">
        <color rgb="FFCCD8EA"/>
      </top>
    </border>
    <border>
      <left style="thin">
        <color rgb="FFCAD4E0"/>
      </left>
      <right style="thin">
        <color rgb="FFCAD4E0"/>
      </right>
    </border>
    <border>
      <left style="thin">
        <color rgb="FFCAD4E0"/>
      </left>
      <bottom style="thin">
        <color rgb="FFCAD4E0"/>
      </bottom>
    </border>
    <border>
      <right style="thin">
        <color rgb="FFCAD4E0"/>
      </right>
      <bottom style="thin">
        <color rgb="FFCAD4E0"/>
      </bottom>
    </border>
    <border>
      <left style="thin">
        <color rgb="FFCCD8EA"/>
      </left>
    </border>
    <border>
      <left style="thin">
        <color rgb="FFCAD4E0"/>
      </left>
      <right style="thin">
        <color rgb="FFCAD4E0"/>
      </right>
      <bottom style="thin">
        <color rgb="FFCAD4E0"/>
      </bottom>
    </border>
    <border>
      <right style="thin">
        <color rgb="FFCCD8EA"/>
      </right>
    </border>
    <border>
      <left style="thin">
        <color rgb="FFCAD4E0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medium">
        <color rgb="FF1E3989"/>
      </top>
      <bottom style="thin">
        <color rgb="FFE1E8EF"/>
      </bottom>
    </border>
    <border>
      <left style="thin">
        <color rgb="FFC6D1E2"/>
      </left>
      <bottom style="thin">
        <color rgb="FFC6D1E2"/>
      </bottom>
    </border>
    <border>
      <bottom style="thin">
        <color rgb="FFC6D1E2"/>
      </bottom>
    </border>
    <border>
      <right style="thin">
        <color rgb="FFC6D1E2"/>
      </right>
      <bottom style="thin">
        <color rgb="FFC6D1E2"/>
      </bottom>
    </border>
    <border>
      <left style="thin">
        <color rgb="FFE1E8EF"/>
      </left>
      <right style="thin">
        <color rgb="FFCAD4E0"/>
      </right>
      <top style="medium">
        <color rgb="FF1E3989"/>
      </top>
      <bottom style="thin">
        <color rgb="FFE1E8EF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CCCCCC"/>
      </left>
      <right style="thin">
        <color rgb="FFE0E0E0"/>
      </right>
      <top style="thin">
        <color rgb="FFB2BFD3"/>
      </top>
    </border>
    <border>
      <left style="thin">
        <color rgb="FFE0E0E0"/>
      </left>
      <right style="thin">
        <color rgb="FFE0E0E0"/>
      </right>
      <top style="thin">
        <color rgb="FFB2BFD3"/>
      </top>
    </border>
    <border>
      <left style="thin">
        <color rgb="FFCCD8EA"/>
      </left>
      <bottom style="thin">
        <color rgb="FFCCD8EA"/>
      </bottom>
    </border>
    <border>
      <right style="thin">
        <color rgb="FFCCD8EA"/>
      </right>
      <bottom style="thin">
        <color rgb="FFCCD8EA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thin">
        <color rgb="FFE1E8EF"/>
      </bottom>
    </border>
    <border>
      <bottom style="thin">
        <color rgb="FFCCD8EA"/>
      </bottom>
    </border>
    <border>
      <left style="thin">
        <color rgb="FFE0E0E0"/>
      </left>
      <right style="thin">
        <color rgb="FFCCCCCC"/>
      </right>
      <top style="thin">
        <color rgb="FFB2BFD3"/>
      </top>
    </border>
    <border>
      <left style="thin">
        <color rgb="FFE0E0E0"/>
      </left>
      <top style="thin">
        <color rgb="FFB2BFD3"/>
      </top>
    </border>
    <border>
      <left style="thin">
        <color rgb="FFE0E0E0"/>
      </left>
      <right style="thin">
        <color rgb="FFE0E0E0"/>
      </right>
      <top style="thin">
        <color rgb="FFB2BFD3"/>
      </top>
      <bottom style="thin">
        <color rgb="FFE0E0E0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  <border>
      <right style="thin">
        <color rgb="FFEFEFEF"/>
      </right>
      <bottom style="thin">
        <color rgb="FFEFEFEF"/>
      </bottom>
    </border>
    <border>
      <left style="thin">
        <color rgb="FFEFEFEF"/>
      </left>
      <right style="thin">
        <color rgb="FFEFEFEF"/>
      </right>
      <bottom style="thin">
        <color rgb="FFEFEFEF"/>
      </bottom>
    </border>
    <border>
      <left style="thin">
        <color rgb="FFE5EAF2"/>
      </left>
      <right style="thin">
        <color rgb="FFE5EAF2"/>
      </right>
      <bottom style="thin">
        <color rgb="FFE5EAF2"/>
      </bottom>
    </border>
    <border>
      <left style="thin">
        <color rgb="FFCCCCCC"/>
      </left>
      <bottom style="double">
        <color rgb="FFB2BFD3"/>
      </bottom>
    </border>
    <border>
      <bottom style="double">
        <color rgb="FFB2BFD3"/>
      </bottom>
    </border>
    <border>
      <right style="thin">
        <color rgb="FFE0E0E0"/>
      </right>
      <bottom style="double">
        <color rgb="FFB2BFD3"/>
      </bottom>
    </border>
    <border>
      <left style="thin">
        <color rgb="FFE0E0E0"/>
      </left>
      <right style="thin">
        <color rgb="FFE0E0E0"/>
      </right>
      <bottom style="double">
        <color rgb="FFB2BFD3"/>
      </bottom>
    </border>
    <border>
      <left style="thin">
        <color rgb="FFE0E0E0"/>
      </left>
      <right style="thin">
        <color rgb="FFCCCCCC"/>
      </right>
      <bottom style="double">
        <color rgb="FFB2BFD3"/>
      </bottom>
    </border>
    <border>
      <left style="thin">
        <color rgb="FFCAD4E0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medium">
        <color rgb="FF1E3989"/>
      </bottom>
    </border>
    <border>
      <left style="thin">
        <color rgb="FFE1E8EF"/>
      </left>
      <right style="thin">
        <color rgb="FFCAD4E0"/>
      </right>
      <top style="thin">
        <color rgb="FFE1E8EF"/>
      </top>
      <bottom style="medium">
        <color rgb="FF1E3989"/>
      </bottom>
    </border>
    <border>
      <left style="thin">
        <color rgb="FFEFEFEF"/>
      </left>
      <bottom style="thin">
        <color rgb="FFEFEFEF"/>
      </bottom>
    </border>
    <border>
      <right style="thin">
        <color rgb="FFEFEFEF"/>
      </right>
      <top style="thin">
        <color rgb="FFEFEFEF"/>
      </top>
      <bottom style="thin">
        <color rgb="FFEFEFEF"/>
      </bottom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EFEFEF"/>
      </left>
      <right style="thin">
        <color rgb="FFEFEFEF"/>
      </right>
      <top style="thin">
        <color rgb="FFEFEFEF"/>
      </top>
    </border>
    <border>
      <left style="thin">
        <color rgb="FFEFEFEF"/>
      </left>
      <top style="thin">
        <color rgb="FFEFEFEF"/>
      </top>
    </border>
  </borders>
  <cellStyleXfs count="1">
    <xf borderId="0" fillId="0" fontId="0" numFmtId="0" applyAlignment="1" applyFont="1"/>
  </cellStyleXfs>
  <cellXfs count="14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3" numFmtId="0" xfId="0" applyFont="1"/>
    <xf borderId="0" fillId="0" fontId="4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6" numFmtId="0" xfId="0" applyAlignment="1" applyFont="1">
      <alignment horizontal="right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readingOrder="0" vertical="center"/>
    </xf>
    <xf borderId="0" fillId="0" fontId="9" numFmtId="0" xfId="0" applyFon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 readingOrder="0" vertical="center"/>
    </xf>
    <xf borderId="1" fillId="2" fontId="11" numFmtId="0" xfId="0" applyAlignment="1" applyBorder="1" applyFill="1" applyFont="1">
      <alignment horizontal="center" readingOrder="0" vertical="center"/>
    </xf>
    <xf borderId="0" fillId="0" fontId="12" numFmtId="0" xfId="0" applyAlignment="1" applyFont="1">
      <alignment horizontal="center" readingOrder="0"/>
    </xf>
    <xf borderId="2" fillId="0" fontId="13" numFmtId="0" xfId="0" applyBorder="1" applyFont="1"/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horizontal="center" readingOrder="0" vertical="center"/>
    </xf>
    <xf borderId="3" fillId="3" fontId="16" numFmtId="0" xfId="0" applyAlignment="1" applyBorder="1" applyFill="1" applyFont="1">
      <alignment horizontal="center" readingOrder="0" vertical="center"/>
    </xf>
    <xf borderId="4" fillId="0" fontId="13" numFmtId="0" xfId="0" applyBorder="1" applyFont="1"/>
    <xf borderId="5" fillId="0" fontId="13" numFmtId="0" xfId="0" applyBorder="1" applyFont="1"/>
    <xf borderId="0" fillId="4" fontId="17" numFmtId="0" xfId="0" applyAlignment="1" applyFill="1" applyFont="1">
      <alignment horizontal="center" readingOrder="0" vertical="center"/>
    </xf>
    <xf borderId="3" fillId="5" fontId="16" numFmtId="0" xfId="0" applyAlignment="1" applyBorder="1" applyFill="1" applyFont="1">
      <alignment horizontal="center" readingOrder="0" vertical="center"/>
    </xf>
    <xf borderId="6" fillId="6" fontId="18" numFmtId="0" xfId="0" applyAlignment="1" applyBorder="1" applyFill="1" applyFont="1">
      <alignment horizontal="center" readingOrder="0" vertical="center"/>
    </xf>
    <xf borderId="3" fillId="7" fontId="16" numFmtId="0" xfId="0" applyAlignment="1" applyBorder="1" applyFill="1" applyFont="1">
      <alignment horizontal="center" readingOrder="0" vertical="center"/>
    </xf>
    <xf borderId="0" fillId="0" fontId="19" numFmtId="0" xfId="0" applyAlignment="1" applyFont="1">
      <alignment horizontal="center"/>
    </xf>
    <xf borderId="0" fillId="0" fontId="20" numFmtId="0" xfId="0" applyAlignment="1" applyFont="1">
      <alignment horizontal="right" readingOrder="0" vertical="center"/>
    </xf>
    <xf borderId="7" fillId="8" fontId="16" numFmtId="0" xfId="0" applyAlignment="1" applyBorder="1" applyFill="1" applyFont="1">
      <alignment horizontal="center" readingOrder="0" vertical="center"/>
    </xf>
    <xf borderId="0" fillId="9" fontId="21" numFmtId="0" xfId="0" applyAlignment="1" applyFill="1" applyFont="1">
      <alignment horizontal="left" readingOrder="0" vertical="center"/>
    </xf>
    <xf borderId="0" fillId="9" fontId="21" numFmtId="0" xfId="0" applyAlignment="1" applyFill="1" applyFont="1">
      <alignment horizontal="center" readingOrder="0" vertical="center"/>
    </xf>
    <xf borderId="0" fillId="2" fontId="22" numFmtId="0" xfId="0" applyAlignment="1" applyFill="1" applyFont="1">
      <alignment horizontal="center" readingOrder="0" vertical="center"/>
    </xf>
    <xf borderId="8" fillId="3" fontId="23" numFmtId="0" xfId="0" applyAlignment="1" applyBorder="1" applyFill="1" applyFont="1">
      <alignment horizontal="center" vertical="center"/>
    </xf>
    <xf borderId="10" fillId="0" fontId="13" numFmtId="0" xfId="0" applyBorder="1" applyFont="1"/>
    <xf borderId="9" fillId="2" fontId="5" numFmtId="164" xfId="0" applyAlignment="1" applyBorder="1" applyFill="1" applyFont="1" applyNumberFormat="1">
      <alignment horizontal="center" vertical="center"/>
    </xf>
    <xf borderId="11" fillId="0" fontId="13" numFmtId="0" xfId="0" applyBorder="1" applyFont="1"/>
    <xf borderId="12" fillId="10" fontId="24" numFmtId="0" xfId="0" applyAlignment="1" applyBorder="1" applyFill="1" applyFont="1">
      <alignment horizontal="center" vertical="center"/>
    </xf>
    <xf borderId="8" fillId="5" fontId="23" numFmtId="0" xfId="0" applyAlignment="1" applyBorder="1" applyFill="1" applyFont="1">
      <alignment horizontal="center" vertical="center"/>
    </xf>
    <xf borderId="13" fillId="11" fontId="25" numFmtId="0" xfId="0" applyAlignment="1" applyBorder="1" applyFill="1" applyFont="1">
      <alignment horizontal="center" vertical="center"/>
    </xf>
    <xf borderId="0" fillId="2" fontId="22" numFmtId="165" xfId="0" applyAlignment="1" applyFill="1" applyFont="1" applyNumberFormat="1">
      <alignment horizontal="center" vertical="center"/>
    </xf>
    <xf borderId="14" fillId="0" fontId="13" numFmtId="0" xfId="0" applyBorder="1" applyFont="1"/>
    <xf borderId="8" fillId="7" fontId="23" numFmtId="0" xfId="0" applyAlignment="1" applyBorder="1" applyFill="1" applyFont="1">
      <alignment horizontal="center" vertical="center"/>
    </xf>
    <xf borderId="15" fillId="0" fontId="13" numFmtId="0" xfId="0" applyBorder="1" applyFont="1"/>
    <xf borderId="9" fillId="2" fontId="5" numFmtId="3" xfId="0" applyAlignment="1" applyBorder="1" applyFill="1" applyFont="1" applyNumberFormat="1">
      <alignment horizontal="center" vertical="center"/>
    </xf>
    <xf borderId="0" fillId="0" fontId="26" numFmtId="0" xfId="0" applyAlignment="1" applyFont="1">
      <alignment horizontal="center"/>
    </xf>
    <xf borderId="16" fillId="8" fontId="23" numFmtId="0" xfId="0" applyAlignment="1" applyBorder="1" applyFill="1" applyFont="1">
      <alignment horizontal="center" vertical="center"/>
    </xf>
    <xf borderId="17" fillId="3" fontId="27" numFmtId="0" xfId="0" applyAlignment="1" applyBorder="1" applyFill="1" applyFont="1">
      <alignment horizontal="center" readingOrder="0" vertical="center"/>
    </xf>
    <xf borderId="18" fillId="0" fontId="13" numFmtId="0" xfId="0" applyBorder="1" applyFont="1"/>
    <xf borderId="17" fillId="5" fontId="27" numFmtId="0" xfId="0" applyAlignment="1" applyBorder="1" applyFill="1" applyFont="1">
      <alignment horizontal="center" readingOrder="0" vertical="center"/>
    </xf>
    <xf borderId="17" fillId="7" fontId="27" numFmtId="0" xfId="0" applyAlignment="1" applyBorder="1" applyFill="1" applyFont="1">
      <alignment horizontal="center" readingOrder="0" vertical="center"/>
    </xf>
    <xf borderId="19" fillId="11" fontId="28" numFmtId="164" xfId="0" applyAlignment="1" applyBorder="1" applyFill="1" applyFont="1" applyNumberFormat="1">
      <alignment horizontal="center" vertical="center"/>
    </xf>
    <xf borderId="20" fillId="8" fontId="27" numFmtId="0" xfId="0" applyAlignment="1" applyBorder="1" applyFill="1" applyFont="1">
      <alignment horizontal="center" readingOrder="0" vertical="center"/>
    </xf>
    <xf borderId="9" fillId="2" fontId="29" numFmtId="0" xfId="0" applyAlignment="1" applyBorder="1" applyFill="1" applyFont="1">
      <alignment horizontal="center" readingOrder="0" vertical="center"/>
    </xf>
    <xf borderId="21" fillId="0" fontId="13" numFmtId="0" xfId="0" applyBorder="1" applyFont="1"/>
    <xf borderId="9" fillId="2" fontId="5" numFmtId="166" xfId="0" applyAlignment="1" applyBorder="1" applyFill="1" applyFont="1" applyNumberFormat="1">
      <alignment horizontal="center" readingOrder="0" vertical="center"/>
    </xf>
    <xf borderId="0" fillId="9" fontId="21" numFmtId="0" xfId="0" applyAlignment="1" applyFill="1" applyFont="1">
      <alignment horizontal="center" vertical="center"/>
    </xf>
    <xf borderId="22" fillId="0" fontId="30" numFmtId="0" xfId="0" applyAlignment="1" applyBorder="1" applyFont="1">
      <alignment horizontal="center" readingOrder="0" vertical="center"/>
    </xf>
    <xf borderId="23" fillId="0" fontId="30" numFmtId="0" xfId="0" applyAlignment="1" applyBorder="1" applyFont="1">
      <alignment horizontal="center" readingOrder="0" vertical="center"/>
    </xf>
    <xf borderId="24" fillId="2" fontId="31" numFmtId="0" xfId="0" applyAlignment="1" applyBorder="1" applyFill="1" applyFont="1">
      <alignment horizontal="center" readingOrder="0" vertical="center"/>
    </xf>
    <xf borderId="25" fillId="0" fontId="13" numFmtId="0" xfId="0" applyBorder="1" applyFont="1"/>
    <xf borderId="26" fillId="0" fontId="13" numFmtId="0" xfId="0" applyBorder="1" applyFont="1"/>
    <xf borderId="27" fillId="0" fontId="30" numFmtId="0" xfId="0" applyAlignment="1" applyBorder="1" applyFont="1">
      <alignment horizontal="center" readingOrder="0" vertical="center"/>
    </xf>
    <xf borderId="0" fillId="2" fontId="22" numFmtId="167" xfId="0" applyAlignment="1" applyFill="1" applyFont="1" applyNumberFormat="1">
      <alignment horizontal="center" vertical="center"/>
    </xf>
    <xf borderId="28" fillId="0" fontId="32" numFmtId="165" xfId="0" applyAlignment="1" applyBorder="1" applyFont="1" applyNumberFormat="1">
      <alignment horizontal="center" readingOrder="0" vertical="center"/>
    </xf>
    <xf borderId="19" fillId="11" fontId="28" numFmtId="3" xfId="0" applyAlignment="1" applyBorder="1" applyFill="1" applyFont="1" applyNumberFormat="1">
      <alignment horizontal="center" vertical="center"/>
    </xf>
    <xf borderId="0" fillId="9" fontId="21" numFmtId="167" xfId="0" applyAlignment="1" applyFill="1" applyFont="1" applyNumberFormat="1">
      <alignment horizontal="center" readingOrder="0" vertical="center"/>
    </xf>
    <xf borderId="29" fillId="0" fontId="32" numFmtId="168" xfId="0" applyAlignment="1" applyBorder="1" applyFont="1" applyNumberFormat="1">
      <alignment horizontal="center" vertical="center"/>
    </xf>
    <xf borderId="29" fillId="0" fontId="33" numFmtId="0" xfId="0" applyAlignment="1" applyBorder="1" applyFont="1">
      <alignment horizontal="left" readingOrder="0" vertical="center"/>
    </xf>
    <xf borderId="0" fillId="0" fontId="34" numFmtId="0" xfId="0" applyAlignment="1" applyFont="1">
      <alignment readingOrder="0" vertical="center"/>
    </xf>
    <xf borderId="0" fillId="0" fontId="34" numFmtId="0" xfId="0" applyAlignment="1" applyFont="1">
      <alignment vertical="center"/>
    </xf>
    <xf borderId="29" fillId="0" fontId="32" numFmtId="0" xfId="0" applyAlignment="1" applyBorder="1" applyFont="1">
      <alignment horizontal="center" vertical="center"/>
    </xf>
    <xf borderId="0" fillId="2" fontId="22" numFmtId="164" xfId="0" applyAlignment="1" applyFill="1" applyFont="1" applyNumberFormat="1">
      <alignment horizontal="center" vertical="center"/>
    </xf>
    <xf borderId="30" fillId="12" fontId="35" numFmtId="0" xfId="0" applyAlignment="1" applyBorder="1" applyFill="1" applyFont="1">
      <alignment horizontal="center" readingOrder="0" shrinkToFit="0" vertical="center" wrapText="1"/>
    </xf>
    <xf borderId="31" fillId="12" fontId="35" numFmtId="0" xfId="0" applyAlignment="1" applyBorder="1" applyFill="1" applyFont="1">
      <alignment horizontal="center" readingOrder="0" shrinkToFit="0" vertical="center" wrapText="1"/>
    </xf>
    <xf borderId="29" fillId="0" fontId="9" numFmtId="0" xfId="0" applyAlignment="1" applyBorder="1" applyFont="1">
      <alignment readingOrder="0"/>
    </xf>
    <xf borderId="31" fillId="12" fontId="35" numFmtId="0" xfId="0" applyAlignment="1" applyBorder="1" applyFill="1" applyFont="1">
      <alignment horizontal="center" readingOrder="0" shrinkToFit="0" vertical="center" wrapText="1"/>
    </xf>
    <xf borderId="29" fillId="0" fontId="9" numFmtId="0" xfId="0" applyAlignment="1" applyBorder="1" applyFont="1">
      <alignment horizontal="center" readingOrder="0"/>
    </xf>
    <xf borderId="32" fillId="11" fontId="36" numFmtId="0" xfId="0" applyAlignment="1" applyBorder="1" applyFill="1" applyFont="1">
      <alignment horizontal="center" vertical="center"/>
    </xf>
    <xf borderId="33" fillId="0" fontId="13" numFmtId="0" xfId="0" applyBorder="1" applyFont="1"/>
    <xf borderId="34" fillId="0" fontId="37" numFmtId="0" xfId="0" applyAlignment="1" applyBorder="1" applyFont="1">
      <alignment horizontal="left" readingOrder="0" vertical="center"/>
    </xf>
    <xf borderId="30" fillId="12" fontId="30" numFmtId="0" xfId="0" applyAlignment="1" applyBorder="1" applyFill="1" applyFont="1">
      <alignment horizontal="center" readingOrder="0" vertical="center"/>
    </xf>
    <xf borderId="31" fillId="12" fontId="30" numFmtId="0" xfId="0" applyAlignment="1" applyBorder="1" applyFill="1" applyFont="1">
      <alignment horizontal="center" readingOrder="0" vertical="center"/>
    </xf>
    <xf borderId="35" fillId="0" fontId="13" numFmtId="0" xfId="0" applyBorder="1" applyFont="1"/>
    <xf borderId="36" fillId="12" fontId="35" numFmtId="0" xfId="0" applyAlignment="1" applyBorder="1" applyFill="1" applyFont="1">
      <alignment horizontal="center" readingOrder="0" shrinkToFit="0" vertical="center" wrapText="1"/>
    </xf>
    <xf borderId="0" fillId="12" fontId="35" numFmtId="0" xfId="0" applyAlignment="1" applyFill="1" applyFont="1">
      <alignment horizontal="center" readingOrder="0" shrinkToFit="0" vertical="center" wrapText="1"/>
    </xf>
    <xf borderId="37" fillId="12" fontId="30" numFmtId="0" xfId="0" applyAlignment="1" applyBorder="1" applyFill="1" applyFont="1">
      <alignment horizontal="center" readingOrder="0" vertical="center"/>
    </xf>
    <xf borderId="0" fillId="0" fontId="18" numFmtId="0" xfId="0" applyAlignment="1" applyFont="1">
      <alignment readingOrder="0"/>
    </xf>
    <xf borderId="0" fillId="12" fontId="35" numFmtId="0" xfId="0" applyAlignment="1" applyFill="1" applyFon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0" fontId="1" numFmtId="0" xfId="0" applyAlignment="1" applyFont="1">
      <alignment vertical="center"/>
    </xf>
    <xf borderId="38" fillId="12" fontId="35" numFmtId="0" xfId="0" applyAlignment="1" applyBorder="1" applyFill="1" applyFont="1">
      <alignment horizontal="center" readingOrder="0" vertical="center"/>
    </xf>
    <xf borderId="38" fillId="12" fontId="35" numFmtId="0" xfId="0" applyAlignment="1" applyBorder="1" applyFill="1" applyFont="1">
      <alignment horizontal="center" vertical="center"/>
    </xf>
    <xf borderId="39" fillId="0" fontId="38" numFmtId="0" xfId="0" applyAlignment="1" applyBorder="1" applyFont="1">
      <alignment horizontal="center" readingOrder="0" vertical="center"/>
    </xf>
    <xf borderId="40" fillId="0" fontId="32" numFmtId="0" xfId="0" applyAlignment="1" applyBorder="1" applyFont="1">
      <alignment horizontal="center" readingOrder="0" vertical="center"/>
    </xf>
    <xf borderId="39" fillId="0" fontId="38" numFmtId="0" xfId="0" applyAlignment="1" applyBorder="1" applyFont="1">
      <alignment horizontal="left" readingOrder="0" vertical="center"/>
    </xf>
    <xf borderId="39" fillId="0" fontId="38" numFmtId="164" xfId="0" applyAlignment="1" applyBorder="1" applyFont="1" applyNumberFormat="1">
      <alignment horizontal="center" readingOrder="0" vertical="center"/>
    </xf>
    <xf borderId="39" fillId="0" fontId="38" numFmtId="165" xfId="0" applyAlignment="1" applyBorder="1" applyFont="1" applyNumberFormat="1">
      <alignment horizontal="center" readingOrder="0" vertical="center"/>
    </xf>
    <xf borderId="39" fillId="0" fontId="38" numFmtId="164" xfId="0" applyAlignment="1" applyBorder="1" applyFont="1" applyNumberFormat="1">
      <alignment horizontal="right" readingOrder="0" vertical="center"/>
    </xf>
    <xf borderId="39" fillId="0" fontId="38" numFmtId="166" xfId="0" applyAlignment="1" applyBorder="1" applyFont="1" applyNumberFormat="1">
      <alignment horizontal="center" readingOrder="0" vertical="center"/>
    </xf>
    <xf borderId="41" fillId="0" fontId="32" numFmtId="169" xfId="0" applyAlignment="1" applyBorder="1" applyFont="1" applyNumberFormat="1">
      <alignment horizontal="left" readingOrder="0" vertical="center"/>
    </xf>
    <xf borderId="42" fillId="0" fontId="39" numFmtId="0" xfId="0" applyAlignment="1" applyBorder="1" applyFont="1">
      <alignment horizontal="center" vertical="center"/>
    </xf>
    <xf borderId="42" fillId="0" fontId="39" numFmtId="165" xfId="0" applyAlignment="1" applyBorder="1" applyFont="1" applyNumberFormat="1">
      <alignment horizontal="center" vertical="center"/>
    </xf>
    <xf borderId="42" fillId="0" fontId="39" numFmtId="164" xfId="0" applyAlignment="1" applyBorder="1" applyFont="1" applyNumberFormat="1">
      <alignment horizontal="right" vertical="center"/>
    </xf>
    <xf borderId="42" fillId="0" fontId="39" numFmtId="166" xfId="0" applyAlignment="1" applyBorder="1" applyFont="1" applyNumberFormat="1">
      <alignment horizontal="center" vertical="center"/>
    </xf>
    <xf borderId="0" fillId="0" fontId="9" numFmtId="0" xfId="0" applyAlignment="1" applyFont="1">
      <alignment vertical="center"/>
    </xf>
    <xf borderId="42" fillId="0" fontId="39" numFmtId="166" xfId="0" applyAlignment="1" applyBorder="1" applyFont="1" applyNumberFormat="1">
      <alignment horizontal="right" vertical="center"/>
    </xf>
    <xf borderId="39" fillId="0" fontId="38" numFmtId="165" xfId="0" applyAlignment="1" applyBorder="1" applyFont="1" applyNumberFormat="1">
      <alignment horizontal="center" vertical="center"/>
    </xf>
    <xf borderId="39" fillId="0" fontId="38" numFmtId="0" xfId="0" applyAlignment="1" applyBorder="1" applyFont="1">
      <alignment horizontal="center" vertical="center"/>
    </xf>
    <xf borderId="39" fillId="0" fontId="38" numFmtId="0" xfId="0" applyAlignment="1" applyBorder="1" applyFont="1">
      <alignment horizontal="left" vertical="center"/>
    </xf>
    <xf borderId="39" fillId="0" fontId="38" numFmtId="164" xfId="0" applyAlignment="1" applyBorder="1" applyFont="1" applyNumberFormat="1">
      <alignment horizontal="center" vertical="center"/>
    </xf>
    <xf borderId="39" fillId="0" fontId="38" numFmtId="164" xfId="0" applyAlignment="1" applyBorder="1" applyFont="1" applyNumberFormat="1">
      <alignment horizontal="right" vertical="center"/>
    </xf>
    <xf borderId="39" fillId="0" fontId="38" numFmtId="166" xfId="0" applyAlignment="1" applyBorder="1" applyFont="1" applyNumberFormat="1">
      <alignment horizontal="center" vertical="center"/>
    </xf>
    <xf borderId="41" fillId="0" fontId="32" numFmtId="164" xfId="0" applyAlignment="1" applyBorder="1" applyFont="1" applyNumberFormat="1">
      <alignment horizontal="right" vertical="center"/>
    </xf>
    <xf borderId="43" fillId="2" fontId="40" numFmtId="0" xfId="0" applyAlignment="1" applyBorder="1" applyFill="1" applyFont="1">
      <alignment horizontal="right" readingOrder="0" vertical="center"/>
    </xf>
    <xf borderId="44" fillId="0" fontId="13" numFmtId="0" xfId="0" applyBorder="1" applyFont="1"/>
    <xf borderId="45" fillId="0" fontId="13" numFmtId="0" xfId="0" applyBorder="1" applyFont="1"/>
    <xf borderId="46" fillId="2" fontId="40" numFmtId="164" xfId="0" applyAlignment="1" applyBorder="1" applyFill="1" applyFont="1" applyNumberFormat="1">
      <alignment horizontal="right" vertical="center"/>
    </xf>
    <xf borderId="46" fillId="2" fontId="40" numFmtId="164" xfId="0" applyAlignment="1" applyBorder="1" applyFill="1" applyFont="1" applyNumberFormat="1">
      <alignment vertical="center"/>
    </xf>
    <xf borderId="46" fillId="2" fontId="40" numFmtId="0" xfId="0" applyAlignment="1" applyBorder="1" applyFill="1" applyFont="1">
      <alignment vertical="center"/>
    </xf>
    <xf borderId="47" fillId="2" fontId="40" numFmtId="0" xfId="0" applyAlignment="1" applyBorder="1" applyFill="1" applyFont="1">
      <alignment vertical="center"/>
    </xf>
    <xf borderId="0" fillId="2" fontId="40" numFmtId="0" xfId="0" applyAlignment="1" applyFill="1" applyFont="1">
      <alignment vertical="center"/>
    </xf>
    <xf borderId="41" fillId="0" fontId="32" numFmtId="0" xfId="0" applyAlignment="1" applyBorder="1" applyFont="1">
      <alignment horizontal="left" vertical="center"/>
    </xf>
    <xf borderId="41" fillId="0" fontId="38" numFmtId="0" xfId="0" applyAlignment="1" applyBorder="1" applyFont="1">
      <alignment horizontal="center" readingOrder="0" vertical="center"/>
    </xf>
    <xf borderId="48" fillId="0" fontId="32" numFmtId="165" xfId="0" applyAlignment="1" applyBorder="1" applyFont="1" applyNumberFormat="1">
      <alignment horizontal="center" readingOrder="0" vertical="center"/>
    </xf>
    <xf borderId="49" fillId="0" fontId="32" numFmtId="168" xfId="0" applyAlignment="1" applyBorder="1" applyFont="1" applyNumberFormat="1">
      <alignment horizontal="center" vertical="center"/>
    </xf>
    <xf borderId="49" fillId="0" fontId="33" numFmtId="0" xfId="0" applyAlignment="1" applyBorder="1" applyFont="1">
      <alignment horizontal="left" readingOrder="0" vertical="center"/>
    </xf>
    <xf borderId="49" fillId="0" fontId="32" numFmtId="0" xfId="0" applyAlignment="1" applyBorder="1" applyFont="1">
      <alignment horizontal="center" vertical="center"/>
    </xf>
    <xf borderId="41" fillId="0" fontId="32" numFmtId="0" xfId="0" applyAlignment="1" applyBorder="1" applyFont="1">
      <alignment horizontal="center" readingOrder="0" vertical="center"/>
    </xf>
    <xf borderId="49" fillId="0" fontId="9" numFmtId="0" xfId="0" applyAlignment="1" applyBorder="1" applyFont="1">
      <alignment readingOrder="0"/>
    </xf>
    <xf borderId="49" fillId="0" fontId="9" numFmtId="0" xfId="0" applyAlignment="1" applyBorder="1" applyFont="1">
      <alignment horizontal="center" readingOrder="0"/>
    </xf>
    <xf borderId="50" fillId="0" fontId="37" numFmtId="0" xfId="0" applyAlignment="1" applyBorder="1" applyFont="1">
      <alignment horizontal="left" readingOrder="0" vertical="center"/>
    </xf>
    <xf borderId="51" fillId="0" fontId="32" numFmtId="0" xfId="0" applyAlignment="1" applyBorder="1" applyFont="1">
      <alignment horizontal="left" readingOrder="0" vertical="center"/>
    </xf>
    <xf borderId="52" fillId="0" fontId="32" numFmtId="0" xfId="0" applyAlignment="1" applyBorder="1" applyFont="1">
      <alignment horizontal="center" readingOrder="0" vertical="center"/>
    </xf>
    <xf borderId="53" fillId="0" fontId="32" numFmtId="164" xfId="0" applyAlignment="1" applyBorder="1" applyFont="1" applyNumberFormat="1">
      <alignment horizontal="right" vertical="center"/>
    </xf>
    <xf borderId="53" fillId="0" fontId="32" numFmtId="0" xfId="0" applyAlignment="1" applyBorder="1" applyFont="1">
      <alignment horizontal="left" vertical="center"/>
    </xf>
    <xf borderId="53" fillId="0" fontId="38" numFmtId="0" xfId="0" applyAlignment="1" applyBorder="1" applyFont="1">
      <alignment horizontal="center" readingOrder="0" vertical="center"/>
    </xf>
    <xf borderId="53" fillId="0" fontId="32" numFmtId="0" xfId="0" applyAlignment="1" applyBorder="1" applyFont="1">
      <alignment horizontal="center" readingOrder="0" vertical="center"/>
    </xf>
    <xf borderId="53" fillId="0" fontId="32" numFmtId="0" xfId="0" applyAlignment="1" applyBorder="1" applyFont="1">
      <alignment horizontal="center" vertical="center"/>
    </xf>
    <xf borderId="54" fillId="2" fontId="33" numFmtId="0" xfId="0" applyAlignment="1" applyBorder="1" applyFill="1" applyFont="1">
      <alignment horizontal="center" readingOrder="0" vertical="center"/>
    </xf>
    <xf borderId="55" fillId="0" fontId="13" numFmtId="0" xfId="0" applyBorder="1" applyFont="1"/>
    <xf borderId="56" fillId="2" fontId="33" numFmtId="164" xfId="0" applyAlignment="1" applyBorder="1" applyFill="1" applyFont="1" applyNumberFormat="1">
      <alignment horizontal="right" vertical="center"/>
    </xf>
    <xf borderId="56" fillId="2" fontId="33" numFmtId="0" xfId="0" applyAlignment="1" applyBorder="1" applyFill="1" applyFont="1">
      <alignment vertical="center"/>
    </xf>
    <xf borderId="56" fillId="2" fontId="41" numFmtId="0" xfId="0" applyAlignment="1" applyBorder="1" applyFill="1" applyFont="1">
      <alignment vertical="center"/>
    </xf>
    <xf borderId="57" fillId="2" fontId="33" numFmtId="0" xfId="0" applyAlignment="1" applyBorder="1" applyFill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1E3989"/>
          <bgColor rgb="FF1E398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B"/>
          <bgColor rgb="FFF6F8FB"/>
        </patternFill>
      </fill>
      <border/>
    </dxf>
  </dxfs>
  <tableStyles count="1">
    <tableStyle count="3" pivot="0" name="NATIONAL HOLIDAY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9:H95" displayName="Table_1" name="Table_1" id="1">
  <tableColumns count="7">
    <tableColumn name="Date" id="1"/>
    <tableColumn name="Year" id="2"/>
    <tableColumn name="Holiday Name" id="3"/>
    <tableColumn name="Day of Week" id="4"/>
    <tableColumn name="Holiday Type" id="5"/>
    <tableColumn name="Banking Status" id="6"/>
    <tableColumn name="Statutory Basis" id="7"/>
  </tableColumns>
  <tableStyleInfo name="NATIONAL HOLIDAY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.88"/>
    <col customWidth="1" min="2" max="2" width="13.88"/>
    <col customWidth="1" min="3" max="3" width="24.63"/>
    <col customWidth="1" min="4" max="4" width="58.38"/>
    <col customWidth="1" min="5" max="5" width="33.38"/>
    <col customWidth="1" min="6" max="6" width="16.38"/>
    <col customWidth="1" min="7" max="7" width="23.75"/>
    <col customWidth="1" min="8" max="9" width="16.38"/>
    <col customWidth="1" min="10" max="10" width="20.75"/>
    <col customWidth="1" min="11" max="11" width="13.88"/>
    <col customWidth="1" min="12" max="12" width="14.5"/>
    <col customWidth="1" min="13" max="13" width="19.5"/>
    <col customWidth="1" min="14" max="15" width="16.38"/>
    <col customWidth="1" min="16" max="16" width="27.75"/>
    <col customWidth="1" min="17" max="17" width="17.63"/>
    <col customWidth="1" min="18" max="18" width="16.38"/>
  </cols>
  <sheetData>
    <row r="1" ht="27.0" customHeight="1">
      <c r="A1" s="2"/>
      <c r="B1" s="5" t="s">
        <v>1</v>
      </c>
      <c r="S1" s="2"/>
      <c r="T1" s="2"/>
      <c r="U1" s="2"/>
      <c r="V1" s="2"/>
      <c r="W1" s="7"/>
      <c r="X1" s="7"/>
      <c r="Y1" s="7"/>
      <c r="Z1" s="7"/>
      <c r="AA1" s="7"/>
      <c r="AB1" s="7"/>
    </row>
    <row r="2">
      <c r="A2" s="2"/>
      <c r="B2" s="8" t="s">
        <v>3</v>
      </c>
      <c r="S2" s="2"/>
      <c r="T2" s="2"/>
      <c r="U2" s="2"/>
      <c r="V2" s="2"/>
      <c r="W2" s="7"/>
      <c r="X2" s="7"/>
      <c r="Y2" s="7"/>
      <c r="Z2" s="7"/>
      <c r="AA2" s="7"/>
      <c r="AB2" s="7"/>
    </row>
    <row r="3" ht="30.0" customHeight="1">
      <c r="A3" s="2"/>
      <c r="B3" s="12" t="s">
        <v>4</v>
      </c>
      <c r="C3" s="14"/>
      <c r="D3" s="19"/>
      <c r="E3" s="12" t="s">
        <v>13</v>
      </c>
      <c r="F3" s="19"/>
      <c r="G3" s="12" t="s">
        <v>15</v>
      </c>
      <c r="H3" s="19"/>
      <c r="I3" s="12" t="s">
        <v>19</v>
      </c>
      <c r="J3" s="19"/>
      <c r="K3" s="12" t="s">
        <v>20</v>
      </c>
      <c r="L3" s="19"/>
      <c r="M3" s="2"/>
      <c r="N3" s="2"/>
      <c r="O3" s="2"/>
      <c r="P3" s="2"/>
      <c r="Q3" s="2"/>
      <c r="R3" s="2"/>
      <c r="S3" s="2"/>
      <c r="T3" s="2"/>
      <c r="U3" s="2"/>
      <c r="V3" s="2"/>
      <c r="W3" s="7"/>
      <c r="X3" s="7"/>
      <c r="Y3" s="7"/>
      <c r="Z3" s="7"/>
      <c r="AA3" s="7"/>
      <c r="AB3" s="7"/>
    </row>
    <row r="4" ht="30.0" customHeight="1">
      <c r="A4" s="2"/>
      <c r="B4" s="32">
        <f>SUM(J9:J18)</f>
        <v>1100000</v>
      </c>
      <c r="D4" s="33"/>
      <c r="E4" s="32">
        <f>SUM(M9:M18)</f>
        <v>55000</v>
      </c>
      <c r="F4" s="33"/>
      <c r="G4" s="41">
        <f>IFERROR(__xludf.DUMMYFUNCTION("COUNTUNIQUE(C9:C18)"),3.0)</f>
        <v>3</v>
      </c>
      <c r="H4" s="33"/>
      <c r="I4" s="50">
        <f>COUNTIF(R9:R18,"Active")</f>
        <v>1</v>
      </c>
      <c r="J4" s="33"/>
      <c r="K4" s="52">
        <v>0.05</v>
      </c>
      <c r="L4" s="33"/>
      <c r="M4" s="2"/>
      <c r="N4" s="2"/>
      <c r="O4" s="2"/>
      <c r="P4" s="2"/>
      <c r="Q4" s="2"/>
      <c r="R4" s="2"/>
      <c r="S4" s="2"/>
      <c r="T4" s="2"/>
      <c r="U4" s="2"/>
      <c r="V4" s="2"/>
      <c r="W4" s="7"/>
      <c r="X4" s="7"/>
      <c r="Y4" s="7"/>
      <c r="Z4" s="7"/>
      <c r="AA4" s="7"/>
      <c r="AB4" s="7"/>
    </row>
    <row r="5" ht="30.0" customHeight="1">
      <c r="A5" s="2"/>
      <c r="B5" s="56" t="s">
        <v>31</v>
      </c>
      <c r="C5" s="57"/>
      <c r="D5" s="58"/>
      <c r="E5" s="56" t="s">
        <v>37</v>
      </c>
      <c r="F5" s="58"/>
      <c r="G5" s="56" t="s">
        <v>39</v>
      </c>
      <c r="H5" s="58"/>
      <c r="I5" s="56" t="s">
        <v>40</v>
      </c>
      <c r="J5" s="58"/>
      <c r="K5" s="56" t="s">
        <v>41</v>
      </c>
      <c r="L5" s="58"/>
      <c r="M5" s="2"/>
      <c r="N5" s="2"/>
      <c r="O5" s="2"/>
      <c r="P5" s="2"/>
      <c r="Q5" s="2"/>
      <c r="R5" s="2"/>
      <c r="S5" s="2"/>
      <c r="T5" s="2"/>
      <c r="U5" s="2"/>
      <c r="V5" s="2"/>
      <c r="W5" s="7"/>
      <c r="X5" s="7"/>
      <c r="Y5" s="7"/>
      <c r="Z5" s="7"/>
      <c r="AA5" s="7"/>
      <c r="AB5" s="7"/>
    </row>
    <row r="6" ht="30.0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7"/>
      <c r="X6" s="7"/>
      <c r="Y6" s="7"/>
      <c r="Z6" s="7"/>
      <c r="AA6" s="7"/>
      <c r="AB6" s="7"/>
    </row>
    <row r="7" ht="30.0" customHeight="1">
      <c r="A7" s="2"/>
      <c r="B7" s="66" t="s">
        <v>46</v>
      </c>
      <c r="C7" s="66"/>
      <c r="D7" s="67"/>
      <c r="E7" s="67"/>
      <c r="F7" s="67"/>
      <c r="G7" s="67"/>
      <c r="H7" s="67"/>
      <c r="I7" s="67"/>
      <c r="J7" s="67"/>
      <c r="K7" s="67"/>
      <c r="L7" s="67"/>
      <c r="M7" s="67"/>
      <c r="N7" s="2"/>
      <c r="O7" s="2"/>
      <c r="P7" s="2"/>
      <c r="Q7" s="2"/>
      <c r="R7" s="2"/>
      <c r="S7" s="2"/>
      <c r="T7" s="2"/>
      <c r="U7" s="2"/>
      <c r="V7" s="2"/>
      <c r="W7" s="7"/>
      <c r="X7" s="7"/>
      <c r="Y7" s="7"/>
      <c r="Z7" s="7"/>
      <c r="AA7" s="7"/>
      <c r="AB7" s="7"/>
    </row>
    <row r="8" ht="30.0" customHeight="1">
      <c r="A8" s="2"/>
      <c r="B8" s="70" t="s">
        <v>16</v>
      </c>
      <c r="C8" s="71" t="s">
        <v>47</v>
      </c>
      <c r="D8" s="73" t="s">
        <v>49</v>
      </c>
      <c r="E8" s="73" t="s">
        <v>50</v>
      </c>
      <c r="F8" s="73" t="s">
        <v>52</v>
      </c>
      <c r="G8" s="73" t="s">
        <v>53</v>
      </c>
      <c r="H8" s="73" t="s">
        <v>54</v>
      </c>
      <c r="I8" s="73" t="s">
        <v>56</v>
      </c>
      <c r="J8" s="73" t="s">
        <v>61</v>
      </c>
      <c r="K8" s="73" t="s">
        <v>62</v>
      </c>
      <c r="L8" s="73" t="s">
        <v>63</v>
      </c>
      <c r="M8" s="73" t="s">
        <v>66</v>
      </c>
      <c r="N8" s="81" t="s">
        <v>69</v>
      </c>
      <c r="O8" s="82" t="s">
        <v>76</v>
      </c>
      <c r="P8" s="82" t="s">
        <v>79</v>
      </c>
      <c r="Q8" s="85" t="s">
        <v>81</v>
      </c>
      <c r="R8" s="85" t="s">
        <v>83</v>
      </c>
      <c r="S8" s="2"/>
      <c r="T8" s="2"/>
      <c r="U8" s="2"/>
      <c r="V8" s="2"/>
      <c r="W8" s="7"/>
      <c r="X8" s="7"/>
      <c r="Y8" s="7"/>
      <c r="Z8" s="7"/>
      <c r="AA8" s="7"/>
      <c r="AB8" s="7"/>
    </row>
    <row r="9" ht="30.0" customHeight="1">
      <c r="A9" s="87"/>
      <c r="B9" s="90" t="s">
        <v>88</v>
      </c>
      <c r="C9" s="92" t="s">
        <v>90</v>
      </c>
      <c r="D9" s="92" t="s">
        <v>92</v>
      </c>
      <c r="E9" s="90" t="s">
        <v>93</v>
      </c>
      <c r="F9" s="90"/>
      <c r="G9" s="90" t="s">
        <v>96</v>
      </c>
      <c r="H9" s="93" t="s">
        <v>97</v>
      </c>
      <c r="I9" s="94">
        <v>46296.0</v>
      </c>
      <c r="J9" s="95">
        <v>500000.0</v>
      </c>
      <c r="K9" s="96">
        <v>0.05</v>
      </c>
      <c r="L9" s="90" t="s">
        <v>102</v>
      </c>
      <c r="M9" s="95">
        <f t="shared" ref="M9:M11" si="1">J9*K9</f>
        <v>25000</v>
      </c>
      <c r="N9" s="94">
        <f t="shared" ref="N9:N11" si="2">EDATE(I9,36)</f>
        <v>47392</v>
      </c>
      <c r="O9" s="92" t="s">
        <v>108</v>
      </c>
      <c r="P9" s="90" t="s">
        <v>109</v>
      </c>
      <c r="Q9" s="90">
        <v>3.970177094E9</v>
      </c>
      <c r="R9" s="90" t="s">
        <v>112</v>
      </c>
      <c r="S9" s="87"/>
      <c r="T9" s="87"/>
      <c r="U9" s="87"/>
      <c r="V9" s="87"/>
      <c r="W9" s="102"/>
      <c r="X9" s="102"/>
      <c r="Y9" s="102"/>
      <c r="Z9" s="102"/>
      <c r="AA9" s="102"/>
      <c r="AB9" s="102"/>
    </row>
    <row r="10" ht="30.0" customHeight="1">
      <c r="A10" s="87"/>
      <c r="B10" s="90" t="s">
        <v>113</v>
      </c>
      <c r="C10" s="92" t="s">
        <v>12</v>
      </c>
      <c r="D10" s="92" t="s">
        <v>115</v>
      </c>
      <c r="E10" s="90" t="s">
        <v>116</v>
      </c>
      <c r="F10" s="90">
        <v>9.929044719E9</v>
      </c>
      <c r="G10" s="90" t="s">
        <v>96</v>
      </c>
      <c r="H10" s="93" t="s">
        <v>43</v>
      </c>
      <c r="I10" s="94">
        <v>46307.0</v>
      </c>
      <c r="J10" s="95">
        <v>500000.0</v>
      </c>
      <c r="K10" s="96">
        <v>0.05</v>
      </c>
      <c r="L10" s="90" t="s">
        <v>102</v>
      </c>
      <c r="M10" s="95">
        <f t="shared" si="1"/>
        <v>25000</v>
      </c>
      <c r="N10" s="94">
        <f t="shared" si="2"/>
        <v>47403</v>
      </c>
      <c r="O10" s="92" t="s">
        <v>117</v>
      </c>
      <c r="P10" s="90" t="s">
        <v>12</v>
      </c>
      <c r="Q10" s="90">
        <v>1.343134565749E12</v>
      </c>
      <c r="R10" s="90" t="s">
        <v>118</v>
      </c>
      <c r="S10" s="87"/>
      <c r="T10" s="87"/>
      <c r="U10" s="87"/>
      <c r="V10" s="87"/>
      <c r="W10" s="102"/>
      <c r="X10" s="102"/>
      <c r="Y10" s="102"/>
      <c r="Z10" s="102"/>
      <c r="AA10" s="102"/>
      <c r="AB10" s="102"/>
    </row>
    <row r="11" ht="30.0" customHeight="1">
      <c r="A11" s="87"/>
      <c r="B11" s="90" t="s">
        <v>119</v>
      </c>
      <c r="C11" s="92" t="s">
        <v>120</v>
      </c>
      <c r="D11" s="92" t="s">
        <v>121</v>
      </c>
      <c r="E11" s="90" t="s">
        <v>122</v>
      </c>
      <c r="F11" s="90">
        <v>7.384377328E9</v>
      </c>
      <c r="G11" s="90" t="s">
        <v>96</v>
      </c>
      <c r="H11" s="93" t="s">
        <v>123</v>
      </c>
      <c r="I11" s="94">
        <v>46300.0</v>
      </c>
      <c r="J11" s="95">
        <v>100000.0</v>
      </c>
      <c r="K11" s="96">
        <v>0.05</v>
      </c>
      <c r="L11" s="90" t="s">
        <v>102</v>
      </c>
      <c r="M11" s="95">
        <f t="shared" si="1"/>
        <v>5000</v>
      </c>
      <c r="N11" s="94">
        <f t="shared" si="2"/>
        <v>47396</v>
      </c>
      <c r="O11" s="92"/>
      <c r="P11" s="90"/>
      <c r="Q11" s="90"/>
      <c r="R11" s="90" t="s">
        <v>112</v>
      </c>
      <c r="S11" s="87"/>
      <c r="T11" s="87"/>
      <c r="U11" s="87"/>
      <c r="V11" s="87"/>
      <c r="W11" s="102"/>
      <c r="X11" s="102"/>
      <c r="Y11" s="102"/>
      <c r="Z11" s="102"/>
      <c r="AA11" s="102"/>
      <c r="AB11" s="102"/>
    </row>
    <row r="12" ht="30.0" customHeight="1">
      <c r="A12" s="87"/>
      <c r="B12" s="90"/>
      <c r="C12" s="92"/>
      <c r="D12" s="92"/>
      <c r="E12" s="90"/>
      <c r="F12" s="94"/>
      <c r="G12" s="90"/>
      <c r="H12" s="93"/>
      <c r="I12" s="94"/>
      <c r="J12" s="95"/>
      <c r="K12" s="96"/>
      <c r="L12" s="90"/>
      <c r="M12" s="95"/>
      <c r="N12" s="94"/>
      <c r="O12" s="92"/>
      <c r="P12" s="90"/>
      <c r="Q12" s="90"/>
      <c r="R12" s="90"/>
      <c r="S12" s="87"/>
      <c r="T12" s="87"/>
      <c r="U12" s="87"/>
      <c r="V12" s="87"/>
      <c r="W12" s="102"/>
      <c r="X12" s="102"/>
      <c r="Y12" s="102"/>
      <c r="Z12" s="102"/>
      <c r="AA12" s="102"/>
      <c r="AB12" s="102"/>
    </row>
    <row r="13" ht="30.0" customHeight="1">
      <c r="A13" s="87"/>
      <c r="B13" s="90"/>
      <c r="C13" s="92"/>
      <c r="D13" s="92"/>
      <c r="E13" s="90"/>
      <c r="F13" s="104"/>
      <c r="G13" s="90"/>
      <c r="H13" s="93"/>
      <c r="I13" s="94"/>
      <c r="J13" s="95"/>
      <c r="K13" s="96"/>
      <c r="L13" s="90"/>
      <c r="M13" s="95"/>
      <c r="N13" s="94"/>
      <c r="O13" s="92"/>
      <c r="P13" s="90"/>
      <c r="Q13" s="90"/>
      <c r="R13" s="90"/>
      <c r="S13" s="87"/>
      <c r="T13" s="87"/>
      <c r="U13" s="87"/>
      <c r="V13" s="87"/>
      <c r="W13" s="102"/>
      <c r="X13" s="102"/>
      <c r="Y13" s="102"/>
      <c r="Z13" s="102"/>
      <c r="AA13" s="102"/>
      <c r="AB13" s="102"/>
    </row>
    <row r="14" ht="30.0" customHeight="1">
      <c r="A14" s="87"/>
      <c r="B14" s="105"/>
      <c r="C14" s="106"/>
      <c r="D14" s="106"/>
      <c r="E14" s="105"/>
      <c r="F14" s="104"/>
      <c r="G14" s="104"/>
      <c r="H14" s="107"/>
      <c r="I14" s="104"/>
      <c r="J14" s="108"/>
      <c r="K14" s="109"/>
      <c r="L14" s="104"/>
      <c r="M14" s="95"/>
      <c r="N14" s="104"/>
      <c r="O14" s="106"/>
      <c r="P14" s="105"/>
      <c r="Q14" s="105"/>
      <c r="R14" s="105"/>
      <c r="S14" s="87"/>
      <c r="T14" s="87"/>
      <c r="U14" s="87"/>
      <c r="V14" s="87"/>
      <c r="W14" s="102"/>
      <c r="X14" s="102"/>
      <c r="Y14" s="102"/>
      <c r="Z14" s="102"/>
      <c r="AA14" s="102"/>
      <c r="AB14" s="102"/>
    </row>
    <row r="15" ht="30.0" customHeight="1">
      <c r="A15" s="87"/>
      <c r="B15" s="105"/>
      <c r="C15" s="106"/>
      <c r="D15" s="106"/>
      <c r="E15" s="105"/>
      <c r="F15" s="104"/>
      <c r="G15" s="104"/>
      <c r="H15" s="107"/>
      <c r="I15" s="104"/>
      <c r="J15" s="108"/>
      <c r="K15" s="109"/>
      <c r="L15" s="104"/>
      <c r="M15" s="108"/>
      <c r="N15" s="104"/>
      <c r="O15" s="106"/>
      <c r="P15" s="105"/>
      <c r="Q15" s="105"/>
      <c r="R15" s="105"/>
      <c r="S15" s="87"/>
      <c r="T15" s="87"/>
      <c r="U15" s="87"/>
      <c r="V15" s="87"/>
      <c r="W15" s="102"/>
      <c r="X15" s="102"/>
      <c r="Y15" s="102"/>
      <c r="Z15" s="102"/>
      <c r="AA15" s="102"/>
      <c r="AB15" s="102"/>
    </row>
    <row r="16" ht="30.0" customHeight="1">
      <c r="A16" s="87"/>
      <c r="B16" s="105"/>
      <c r="C16" s="106"/>
      <c r="D16" s="106"/>
      <c r="E16" s="105"/>
      <c r="F16" s="104"/>
      <c r="G16" s="104"/>
      <c r="H16" s="107"/>
      <c r="I16" s="104"/>
      <c r="J16" s="108"/>
      <c r="K16" s="109"/>
      <c r="L16" s="104"/>
      <c r="M16" s="108"/>
      <c r="N16" s="104"/>
      <c r="O16" s="106"/>
      <c r="P16" s="105"/>
      <c r="Q16" s="105"/>
      <c r="R16" s="105"/>
      <c r="S16" s="87"/>
      <c r="T16" s="87"/>
      <c r="U16" s="87"/>
      <c r="V16" s="87"/>
      <c r="W16" s="102"/>
      <c r="X16" s="102"/>
      <c r="Y16" s="102"/>
      <c r="Z16" s="102"/>
      <c r="AA16" s="102"/>
      <c r="AB16" s="102"/>
    </row>
    <row r="17" ht="30.0" customHeight="1">
      <c r="A17" s="87"/>
      <c r="B17" s="105"/>
      <c r="C17" s="106"/>
      <c r="D17" s="106"/>
      <c r="E17" s="105"/>
      <c r="F17" s="104"/>
      <c r="G17" s="104"/>
      <c r="H17" s="107"/>
      <c r="I17" s="104"/>
      <c r="J17" s="108"/>
      <c r="K17" s="109"/>
      <c r="L17" s="104"/>
      <c r="M17" s="108"/>
      <c r="N17" s="104"/>
      <c r="O17" s="106"/>
      <c r="P17" s="105"/>
      <c r="Q17" s="105"/>
      <c r="R17" s="105"/>
      <c r="S17" s="87"/>
      <c r="T17" s="87"/>
      <c r="U17" s="87"/>
      <c r="V17" s="87"/>
      <c r="W17" s="102"/>
      <c r="X17" s="102"/>
      <c r="Y17" s="102"/>
      <c r="Z17" s="102"/>
      <c r="AA17" s="102"/>
      <c r="AB17" s="102"/>
    </row>
    <row r="18" ht="30.0" customHeight="1">
      <c r="A18" s="87"/>
      <c r="B18" s="105"/>
      <c r="C18" s="106"/>
      <c r="D18" s="106"/>
      <c r="E18" s="105"/>
      <c r="F18" s="104"/>
      <c r="G18" s="104"/>
      <c r="H18" s="107"/>
      <c r="I18" s="104"/>
      <c r="J18" s="108"/>
      <c r="K18" s="109"/>
      <c r="L18" s="104"/>
      <c r="M18" s="108"/>
      <c r="N18" s="104"/>
      <c r="O18" s="106"/>
      <c r="P18" s="105"/>
      <c r="Q18" s="105"/>
      <c r="R18" s="105"/>
      <c r="S18" s="87"/>
      <c r="T18" s="87"/>
      <c r="U18" s="87"/>
      <c r="V18" s="87"/>
      <c r="W18" s="102"/>
      <c r="X18" s="102"/>
      <c r="Y18" s="102"/>
      <c r="Z18" s="102"/>
      <c r="AA18" s="102"/>
      <c r="AB18" s="102"/>
    </row>
    <row r="19" ht="30.0" customHeight="1">
      <c r="A19" s="2"/>
      <c r="B19" s="111" t="s">
        <v>125</v>
      </c>
      <c r="C19" s="112"/>
      <c r="D19" s="112"/>
      <c r="E19" s="112"/>
      <c r="F19" s="112"/>
      <c r="G19" s="112"/>
      <c r="H19" s="112"/>
      <c r="I19" s="113"/>
      <c r="J19" s="114">
        <f>SUM(J9:J18)</f>
        <v>1100000</v>
      </c>
      <c r="K19" s="115"/>
      <c r="L19" s="116"/>
      <c r="M19" s="114">
        <f>SUM(M9:M18)</f>
        <v>55000</v>
      </c>
      <c r="N19" s="117"/>
      <c r="O19" s="117"/>
      <c r="P19" s="118"/>
      <c r="Q19" s="118"/>
      <c r="R19" s="118"/>
      <c r="S19" s="2"/>
      <c r="T19" s="2"/>
      <c r="U19" s="2"/>
      <c r="V19" s="2"/>
      <c r="W19" s="7"/>
      <c r="X19" s="7"/>
      <c r="Y19" s="7"/>
      <c r="Z19" s="7"/>
      <c r="AA19" s="7"/>
      <c r="AB19" s="7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7"/>
      <c r="X20" s="7"/>
      <c r="Y20" s="7"/>
      <c r="Z20" s="7"/>
      <c r="AA20" s="7"/>
      <c r="AB20" s="7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7"/>
      <c r="X21" s="7"/>
      <c r="Y21" s="7"/>
      <c r="Z21" s="7"/>
      <c r="AA21" s="7"/>
      <c r="AB21" s="7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7"/>
      <c r="X22" s="7"/>
      <c r="Y22" s="7"/>
      <c r="Z22" s="7"/>
      <c r="AA22" s="7"/>
      <c r="AB22" s="7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7"/>
      <c r="X23" s="7"/>
      <c r="Y23" s="7"/>
      <c r="Z23" s="7"/>
      <c r="AA23" s="7"/>
      <c r="AB23" s="7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7"/>
      <c r="X24" s="7"/>
      <c r="Y24" s="7"/>
      <c r="Z24" s="7"/>
      <c r="AA24" s="7"/>
      <c r="AB24" s="7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7"/>
      <c r="X25" s="7"/>
      <c r="Y25" s="7"/>
      <c r="Z25" s="7"/>
      <c r="AA25" s="7"/>
      <c r="AB25" s="7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7"/>
      <c r="X26" s="7"/>
      <c r="Y26" s="7"/>
      <c r="Z26" s="7"/>
      <c r="AA26" s="7"/>
      <c r="AB26" s="7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7"/>
      <c r="X27" s="7"/>
      <c r="Y27" s="7"/>
      <c r="Z27" s="7"/>
      <c r="AA27" s="7"/>
      <c r="AB27" s="7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7"/>
      <c r="X28" s="7"/>
      <c r="Y28" s="7"/>
      <c r="Z28" s="7"/>
      <c r="AA28" s="7"/>
      <c r="AB28" s="7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7"/>
      <c r="X29" s="7"/>
      <c r="Y29" s="7"/>
      <c r="Z29" s="7"/>
      <c r="AA29" s="7"/>
      <c r="AB29" s="7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7"/>
      <c r="X30" s="7"/>
      <c r="Y30" s="7"/>
      <c r="Z30" s="7"/>
      <c r="AA30" s="7"/>
      <c r="AB30" s="7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7"/>
      <c r="X31" s="7"/>
      <c r="Y31" s="7"/>
      <c r="Z31" s="7"/>
      <c r="AA31" s="7"/>
      <c r="AB31" s="7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7"/>
      <c r="X32" s="7"/>
      <c r="Y32" s="7"/>
      <c r="Z32" s="7"/>
      <c r="AA32" s="7"/>
      <c r="AB32" s="7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7"/>
      <c r="X33" s="7"/>
      <c r="Y33" s="7"/>
      <c r="Z33" s="7"/>
      <c r="AA33" s="7"/>
      <c r="AB33" s="7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7"/>
      <c r="X34" s="7"/>
      <c r="Y34" s="7"/>
      <c r="Z34" s="7"/>
      <c r="AA34" s="7"/>
      <c r="AB34" s="7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7"/>
      <c r="X35" s="7"/>
      <c r="Y35" s="7"/>
      <c r="Z35" s="7"/>
      <c r="AA35" s="7"/>
      <c r="AB35" s="7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7"/>
      <c r="X36" s="7"/>
      <c r="Y36" s="7"/>
      <c r="Z36" s="7"/>
      <c r="AA36" s="7"/>
      <c r="AB36" s="7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7"/>
      <c r="X37" s="7"/>
      <c r="Y37" s="7"/>
      <c r="Z37" s="7"/>
      <c r="AA37" s="7"/>
      <c r="AB37" s="7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7"/>
      <c r="X38" s="7"/>
      <c r="Y38" s="7"/>
      <c r="Z38" s="7"/>
      <c r="AA38" s="7"/>
      <c r="AB38" s="7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7"/>
      <c r="X39" s="7"/>
      <c r="Y39" s="7"/>
      <c r="Z39" s="7"/>
      <c r="AA39" s="7"/>
      <c r="AB39" s="7"/>
    </row>
  </sheetData>
  <mergeCells count="18">
    <mergeCell ref="B1:R1"/>
    <mergeCell ref="B2:R2"/>
    <mergeCell ref="B3:D3"/>
    <mergeCell ref="E3:F3"/>
    <mergeCell ref="G3:H3"/>
    <mergeCell ref="I3:J3"/>
    <mergeCell ref="K3:L3"/>
    <mergeCell ref="G5:H5"/>
    <mergeCell ref="I5:J5"/>
    <mergeCell ref="B19:I19"/>
    <mergeCell ref="B4:D4"/>
    <mergeCell ref="E4:F4"/>
    <mergeCell ref="G4:H4"/>
    <mergeCell ref="I4:J4"/>
    <mergeCell ref="K4:L4"/>
    <mergeCell ref="B5:D5"/>
    <mergeCell ref="E5:F5"/>
    <mergeCell ref="K5:L5"/>
  </mergeCells>
  <dataValidations>
    <dataValidation type="list" allowBlank="1" sqref="G9:G18">
      <formula1>"Initial Investment,2nd Investment,3rd Investment,4th Investment,5th Investment,Reinvestment"</formula1>
    </dataValidation>
    <dataValidation type="list" allowBlank="1" sqref="R9:R18">
      <formula1>"Active,Pending,Completed,Early Termination"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24.38"/>
    <col customWidth="1" min="3" max="3" width="27.5"/>
    <col customWidth="1" min="4" max="4" width="17.63"/>
    <col customWidth="1" min="5" max="5" width="16.63"/>
    <col customWidth="1" min="6" max="6" width="14.88"/>
    <col customWidth="1" min="7" max="7" width="12.5"/>
    <col customWidth="1" min="8" max="8" width="22.38"/>
    <col customWidth="1" min="9" max="9" width="16.88"/>
    <col customWidth="1" min="10" max="10" width="23.63"/>
    <col customWidth="1" min="11" max="11" width="18.75"/>
  </cols>
  <sheetData>
    <row r="1" ht="37.5" customHeight="1"/>
    <row r="2" ht="37.5" customHeight="1">
      <c r="B2" s="3" t="s">
        <v>0</v>
      </c>
    </row>
    <row r="3" ht="37.5" customHeight="1">
      <c r="B3" s="6" t="s">
        <v>2</v>
      </c>
      <c r="C3" s="22" t="s">
        <v>12</v>
      </c>
    </row>
    <row r="4" ht="37.5" customHeight="1">
      <c r="B4" s="25" t="s">
        <v>16</v>
      </c>
      <c r="C4" s="34" t="str">
        <f t="array" ref="C4">_xlfn.XLOOKUP(C3, 'Investors Details'!$C$9:$C$19, 'Investors Details'!$B$9:$B$19, "")</f>
        <v>INV-002</v>
      </c>
    </row>
    <row r="5" ht="37.5" customHeight="1">
      <c r="B5" s="36" t="s">
        <v>4</v>
      </c>
      <c r="C5" s="38"/>
      <c r="D5" s="36" t="s">
        <v>13</v>
      </c>
      <c r="E5" s="38"/>
      <c r="F5" s="36" t="s">
        <v>22</v>
      </c>
      <c r="G5" s="38"/>
      <c r="H5" s="36" t="s">
        <v>23</v>
      </c>
      <c r="I5" s="40"/>
      <c r="J5" s="38"/>
    </row>
    <row r="6" ht="37.5" customHeight="1">
      <c r="B6" s="48">
        <f>SUMIFS('Investors Details'!$J$9:$J$19, 'Investors Details'!$C$9:$C$19, $C$3)</f>
        <v>500000</v>
      </c>
      <c r="C6" s="51"/>
      <c r="D6" s="48">
        <f>SUMIFS('Investors Details'!$M$9:$M$19, 'Investors Details'!$C$9:$C$19, $C$3)</f>
        <v>25000</v>
      </c>
      <c r="E6" s="51"/>
      <c r="F6" s="62">
        <f>COUNTIFS('Investors Details'!$C$9:$C$19, $C$3, 'Investors Details'!$R$9:$R$19, "Active")</f>
        <v>1</v>
      </c>
      <c r="G6" s="51"/>
      <c r="H6" s="48">
        <f>SUMIFS('Investors Details'!$M$9:$M$19, 'Investors Details'!$C$9:$C$19, $C$3)*31</f>
        <v>775000</v>
      </c>
      <c r="J6" s="51"/>
    </row>
    <row r="7" ht="37.5" customHeight="1">
      <c r="B7" s="75" t="s">
        <v>51</v>
      </c>
      <c r="C7" s="76"/>
      <c r="D7" s="75" t="s">
        <v>59</v>
      </c>
      <c r="E7" s="76"/>
      <c r="F7" s="75" t="s">
        <v>60</v>
      </c>
      <c r="G7" s="76"/>
      <c r="H7" s="75" t="s">
        <v>67</v>
      </c>
      <c r="I7" s="80"/>
      <c r="J7" s="76"/>
    </row>
    <row r="8" ht="37.5" customHeight="1"/>
    <row r="9" ht="37.5" customHeight="1">
      <c r="B9" s="84" t="s">
        <v>80</v>
      </c>
    </row>
    <row r="10" ht="37.5" customHeight="1">
      <c r="A10" s="86"/>
      <c r="B10" s="88" t="s">
        <v>16</v>
      </c>
      <c r="C10" s="89" t="s">
        <v>54</v>
      </c>
      <c r="D10" s="89" t="s">
        <v>89</v>
      </c>
      <c r="E10" s="89" t="s">
        <v>56</v>
      </c>
      <c r="F10" s="89" t="s">
        <v>69</v>
      </c>
      <c r="G10" s="89" t="s">
        <v>63</v>
      </c>
      <c r="H10" s="89" t="s">
        <v>61</v>
      </c>
      <c r="I10" s="89" t="s">
        <v>62</v>
      </c>
      <c r="J10" s="89" t="s">
        <v>66</v>
      </c>
      <c r="K10" s="89" t="s">
        <v>83</v>
      </c>
      <c r="L10" s="86"/>
      <c r="M10" s="86"/>
      <c r="N10" s="86"/>
      <c r="O10" s="86"/>
      <c r="P10" s="86"/>
      <c r="Q10" s="86"/>
      <c r="R10" s="86"/>
      <c r="S10" s="86"/>
      <c r="T10" s="86"/>
    </row>
    <row r="11" ht="37.5" customHeight="1">
      <c r="B11" s="98" t="str">
        <f>IFERROR(__xludf.DUMMYFUNCTION("IFNA(FILTER({'Investors Details'!$B$9:$B$19, 'Investors Details'!$H$9:$H$19, 'Investors Details'!$G$9:$G$19, 'Investors Details'!$I$9:$I$19, 'Investors Details'!$N$9:$N$19, 'Investors Details'!$L$9:$L$19, 'Investors Details'!$J$9:$J$19, 'Investors Details"&amp;"'!$K$9:$K$19, 'Investors Details'!$M$9:$M$19, 'Investors Details'!$R$9:$R$19}, 'Investors Details'!$C$9:$C$19 = $C$3), ""No active contracts found"")"),"INV-002")</f>
        <v>INV-002</v>
      </c>
      <c r="C11" s="98" t="str">
        <f>IFERROR(__xludf.DUMMYFUNCTION("""COMPUTED_VALUE"""),"CR-2026-003")</f>
        <v>CR-2026-003</v>
      </c>
      <c r="D11" s="98" t="str">
        <f>IFERROR(__xludf.DUMMYFUNCTION("""COMPUTED_VALUE"""),"Initial Investment")</f>
        <v>Initial Investment</v>
      </c>
      <c r="E11" s="99">
        <f>IFERROR(__xludf.DUMMYFUNCTION("""COMPUTED_VALUE"""),46307.0)</f>
        <v>46307</v>
      </c>
      <c r="F11" s="99">
        <f>IFERROR(__xludf.DUMMYFUNCTION("""COMPUTED_VALUE"""),47403.0)</f>
        <v>47403</v>
      </c>
      <c r="G11" s="98" t="str">
        <f>IFERROR(__xludf.DUMMYFUNCTION("""COMPUTED_VALUE"""),"36 Months")</f>
        <v>36 Months</v>
      </c>
      <c r="H11" s="100">
        <f>IFERROR(__xludf.DUMMYFUNCTION("""COMPUTED_VALUE"""),500000.0)</f>
        <v>500000</v>
      </c>
      <c r="I11" s="101">
        <f>IFERROR(__xludf.DUMMYFUNCTION("""COMPUTED_VALUE"""),0.05)</f>
        <v>0.05</v>
      </c>
      <c r="J11" s="100">
        <f>IFERROR(__xludf.DUMMYFUNCTION("""COMPUTED_VALUE"""),25000.0)</f>
        <v>25000</v>
      </c>
      <c r="K11" s="98" t="str">
        <f>IFERROR(__xludf.DUMMYFUNCTION("""COMPUTED_VALUE"""),"Active")</f>
        <v>Active</v>
      </c>
    </row>
    <row r="12" ht="37.5" customHeight="1">
      <c r="B12" s="98"/>
      <c r="C12" s="98"/>
      <c r="D12" s="98"/>
      <c r="E12" s="99"/>
      <c r="F12" s="99"/>
      <c r="G12" s="98"/>
      <c r="H12" s="100"/>
      <c r="I12" s="103"/>
      <c r="J12" s="100"/>
      <c r="K12" s="98"/>
    </row>
    <row r="13" ht="37.5" customHeight="1">
      <c r="B13" s="98"/>
      <c r="C13" s="98"/>
      <c r="D13" s="98"/>
      <c r="E13" s="99"/>
      <c r="F13" s="99"/>
      <c r="G13" s="98"/>
      <c r="H13" s="100"/>
      <c r="I13" s="103"/>
      <c r="J13" s="100"/>
      <c r="K13" s="98"/>
    </row>
    <row r="14" ht="37.5" customHeight="1">
      <c r="B14" s="98"/>
      <c r="C14" s="98"/>
      <c r="D14" s="98"/>
      <c r="E14" s="99"/>
      <c r="F14" s="99"/>
      <c r="G14" s="98"/>
      <c r="H14" s="100"/>
      <c r="I14" s="103"/>
      <c r="J14" s="100"/>
      <c r="K14" s="98"/>
    </row>
    <row r="15" ht="37.5" customHeight="1">
      <c r="B15" s="98"/>
      <c r="C15" s="98"/>
      <c r="D15" s="98"/>
      <c r="E15" s="99"/>
      <c r="F15" s="99"/>
      <c r="G15" s="98"/>
      <c r="H15" s="100"/>
      <c r="I15" s="103"/>
      <c r="J15" s="100"/>
      <c r="K15" s="98"/>
    </row>
    <row r="16" ht="37.5" customHeight="1">
      <c r="B16" s="98"/>
      <c r="C16" s="98"/>
      <c r="D16" s="98"/>
      <c r="E16" s="99"/>
      <c r="F16" s="99"/>
      <c r="G16" s="98"/>
      <c r="H16" s="100"/>
      <c r="I16" s="103"/>
      <c r="J16" s="100"/>
      <c r="K16" s="98"/>
    </row>
    <row r="17" ht="37.5" customHeight="1">
      <c r="B17" s="98"/>
      <c r="C17" s="98"/>
      <c r="D17" s="98"/>
      <c r="E17" s="99"/>
      <c r="F17" s="99"/>
      <c r="G17" s="98"/>
      <c r="H17" s="100"/>
      <c r="I17" s="103"/>
      <c r="J17" s="100"/>
      <c r="K17" s="98"/>
    </row>
    <row r="18" ht="37.5" customHeight="1">
      <c r="B18" s="98"/>
      <c r="C18" s="98"/>
      <c r="D18" s="98"/>
      <c r="E18" s="99"/>
      <c r="F18" s="99"/>
      <c r="G18" s="98"/>
      <c r="H18" s="100"/>
      <c r="I18" s="103"/>
      <c r="J18" s="100"/>
      <c r="K18" s="98"/>
    </row>
    <row r="19" ht="37.5" customHeight="1">
      <c r="B19" s="98"/>
      <c r="C19" s="98"/>
      <c r="D19" s="98"/>
      <c r="E19" s="99"/>
      <c r="F19" s="99"/>
      <c r="G19" s="98"/>
      <c r="H19" s="100"/>
      <c r="I19" s="103"/>
      <c r="J19" s="100"/>
      <c r="K19" s="98"/>
    </row>
    <row r="20" ht="37.5" customHeight="1">
      <c r="B20" s="98"/>
      <c r="C20" s="98"/>
      <c r="D20" s="98"/>
      <c r="E20" s="99"/>
      <c r="F20" s="99"/>
      <c r="G20" s="98"/>
      <c r="H20" s="100"/>
      <c r="I20" s="103"/>
      <c r="J20" s="100"/>
      <c r="K20" s="98"/>
    </row>
    <row r="21" ht="37.5" customHeight="1">
      <c r="B21" s="98"/>
      <c r="C21" s="98"/>
      <c r="D21" s="98"/>
      <c r="E21" s="99"/>
      <c r="F21" s="99"/>
      <c r="G21" s="98"/>
      <c r="H21" s="100"/>
      <c r="I21" s="103"/>
      <c r="J21" s="100"/>
      <c r="K21" s="98"/>
    </row>
    <row r="22" ht="37.5" customHeight="1">
      <c r="B22" s="98"/>
      <c r="C22" s="98"/>
      <c r="D22" s="98"/>
      <c r="E22" s="99"/>
      <c r="F22" s="99"/>
      <c r="G22" s="98"/>
      <c r="H22" s="100"/>
      <c r="I22" s="103"/>
      <c r="J22" s="100"/>
      <c r="K22" s="98"/>
    </row>
    <row r="23" ht="37.5" customHeight="1">
      <c r="B23" s="98"/>
      <c r="C23" s="98"/>
      <c r="D23" s="98"/>
      <c r="E23" s="99"/>
      <c r="F23" s="99"/>
      <c r="G23" s="98"/>
      <c r="H23" s="100"/>
      <c r="I23" s="103"/>
      <c r="J23" s="100"/>
      <c r="K23" s="98"/>
    </row>
    <row r="24" ht="37.5" customHeight="1">
      <c r="B24" s="98"/>
      <c r="C24" s="98"/>
      <c r="D24" s="98"/>
      <c r="E24" s="99"/>
      <c r="F24" s="99"/>
      <c r="G24" s="98"/>
      <c r="H24" s="100"/>
      <c r="I24" s="103"/>
      <c r="J24" s="100"/>
      <c r="K24" s="98"/>
    </row>
    <row r="25" ht="37.5" customHeight="1">
      <c r="B25" s="98"/>
      <c r="C25" s="98"/>
      <c r="D25" s="98"/>
      <c r="E25" s="99"/>
      <c r="F25" s="99"/>
      <c r="G25" s="98"/>
      <c r="H25" s="100"/>
      <c r="I25" s="103"/>
      <c r="J25" s="100"/>
      <c r="K25" s="98"/>
    </row>
  </sheetData>
  <mergeCells count="12">
    <mergeCell ref="B6:C6"/>
    <mergeCell ref="B7:C7"/>
    <mergeCell ref="D7:E7"/>
    <mergeCell ref="F7:G7"/>
    <mergeCell ref="H7:J7"/>
    <mergeCell ref="B5:C5"/>
    <mergeCell ref="D5:E5"/>
    <mergeCell ref="F5:G5"/>
    <mergeCell ref="H5:J5"/>
    <mergeCell ref="D6:E6"/>
    <mergeCell ref="F6:G6"/>
    <mergeCell ref="H6:J6"/>
  </mergeCells>
  <dataValidations>
    <dataValidation type="list" allowBlank="1" sqref="C3">
      <formula1>'Investors Details'!$C$9:$C$19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3.88"/>
    <col customWidth="1" min="2" max="2" width="20.88"/>
    <col customWidth="1" min="3" max="3" width="41.38"/>
    <col customWidth="1" min="4" max="4" width="29.38"/>
    <col customWidth="1" min="5" max="5" width="37.75"/>
    <col customWidth="1" min="6" max="6" width="25.13"/>
    <col customWidth="1" min="7" max="7" width="22.63"/>
    <col customWidth="1" min="8" max="8" width="31.63"/>
    <col customWidth="1" min="9" max="9" width="77.13"/>
    <col customWidth="1" hidden="1" min="10" max="10" width="23.5"/>
    <col customWidth="1" hidden="1" min="11" max="11" width="43.38"/>
    <col hidden="1" min="12" max="12" width="12.63"/>
    <col customWidth="1" hidden="1" min="13" max="13" width="17.63"/>
    <col hidden="1" min="14" max="25" width="12.63"/>
    <col customWidth="1" min="26" max="26" width="4.13"/>
  </cols>
  <sheetData>
    <row r="1" ht="14.25" customHeight="1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1"/>
      <c r="M1" s="1"/>
      <c r="N1" s="1"/>
      <c r="O1" s="1"/>
      <c r="P1" s="1"/>
      <c r="Q1" s="1"/>
      <c r="R1" s="1"/>
      <c r="S1" s="1"/>
      <c r="T1" s="1"/>
      <c r="U1" s="9"/>
      <c r="V1" s="9"/>
      <c r="W1" s="9"/>
      <c r="X1" s="9"/>
      <c r="Y1" s="9"/>
      <c r="Z1" s="9"/>
    </row>
    <row r="2" ht="33.75" customHeight="1">
      <c r="A2" s="1"/>
      <c r="B2" s="11" t="s">
        <v>5</v>
      </c>
      <c r="J2" s="4"/>
      <c r="K2" s="4"/>
      <c r="L2" s="1"/>
      <c r="M2" s="1"/>
      <c r="N2" s="1"/>
      <c r="O2" s="1"/>
      <c r="P2" s="1"/>
      <c r="Q2" s="1"/>
      <c r="R2" s="1"/>
      <c r="S2" s="1"/>
      <c r="T2" s="1"/>
      <c r="U2" s="9"/>
      <c r="V2" s="9"/>
      <c r="W2" s="9"/>
      <c r="X2" s="9"/>
      <c r="Y2" s="9"/>
      <c r="Z2" s="9"/>
    </row>
    <row r="3" ht="40.5" customHeight="1">
      <c r="A3" s="1"/>
      <c r="B3" s="16" t="s">
        <v>9</v>
      </c>
      <c r="J3" s="16"/>
      <c r="K3" s="16"/>
      <c r="L3" s="1"/>
      <c r="M3" s="20" t="s">
        <v>11</v>
      </c>
      <c r="N3" s="1"/>
      <c r="O3" s="1"/>
      <c r="P3" s="1"/>
      <c r="Q3" s="1"/>
      <c r="R3" s="1"/>
      <c r="S3" s="1"/>
      <c r="T3" s="1"/>
      <c r="U3" s="9"/>
      <c r="V3" s="9"/>
      <c r="W3" s="9"/>
      <c r="X3" s="9"/>
      <c r="Y3" s="9"/>
      <c r="Z3" s="9"/>
    </row>
    <row r="4" ht="22.5" customHeight="1">
      <c r="A4" s="24"/>
      <c r="B4" s="27" t="s">
        <v>18</v>
      </c>
      <c r="C4" s="28" t="s">
        <v>12</v>
      </c>
      <c r="H4" s="29" t="s">
        <v>21</v>
      </c>
      <c r="I4" s="37">
        <f t="array" ref="I4">_xlfn.XLOOKUP(C6, 'Investors Details'!$H$9:$H$18, 'Investors Details'!$I$9:$I$18)</f>
        <v>46307</v>
      </c>
      <c r="L4" s="24"/>
      <c r="M4" s="24" t="str">
        <f>IFERROR(__xludf.DUMMYFUNCTION("IFERROR(FILTER('Investors Details'!$H$9:$H$19, 'Investors Details'!$C$9:$C$19 = C4), """")"),"CR-2026-003")</f>
        <v>CR-2026-003</v>
      </c>
      <c r="N4" s="24"/>
      <c r="O4" s="24"/>
      <c r="P4" s="24"/>
      <c r="Q4" s="24"/>
      <c r="R4" s="24"/>
      <c r="S4" s="24"/>
      <c r="T4" s="24"/>
      <c r="U4" s="42"/>
      <c r="V4" s="42"/>
      <c r="W4" s="42"/>
      <c r="X4" s="42"/>
      <c r="Y4" s="42"/>
      <c r="Z4" s="42"/>
    </row>
    <row r="5" ht="22.5" customHeight="1">
      <c r="A5" s="1"/>
      <c r="B5" s="27" t="s">
        <v>25</v>
      </c>
      <c r="C5" s="53" t="str">
        <f t="array" ref="C5">_xlfn.XLOOKUP(C4, 'Investors Details'!$C$9:$C$18, 'Investors Details'!$B$9:$B$18, "")</f>
        <v>INV-002</v>
      </c>
      <c r="D5" s="4"/>
      <c r="E5" s="4"/>
      <c r="F5" s="4"/>
      <c r="G5" s="4"/>
      <c r="H5" s="29" t="s">
        <v>29</v>
      </c>
      <c r="I5" s="60">
        <f>SUM(F9:F44)</f>
        <v>775000</v>
      </c>
      <c r="J5" s="4"/>
      <c r="K5" s="4"/>
      <c r="L5" s="1"/>
      <c r="M5" s="1"/>
      <c r="N5" s="1"/>
      <c r="O5" s="1"/>
      <c r="P5" s="1"/>
      <c r="Q5" s="1"/>
      <c r="R5" s="1"/>
      <c r="S5" s="1"/>
      <c r="T5" s="1"/>
      <c r="U5" s="9"/>
      <c r="V5" s="9"/>
      <c r="W5" s="9"/>
      <c r="X5" s="9"/>
      <c r="Y5" s="9"/>
      <c r="Z5" s="9"/>
    </row>
    <row r="6" ht="22.5" customHeight="1">
      <c r="A6" s="1"/>
      <c r="B6" s="27" t="s">
        <v>42</v>
      </c>
      <c r="C6" s="63" t="s">
        <v>43</v>
      </c>
      <c r="D6" s="4"/>
      <c r="E6" s="4"/>
      <c r="F6" s="4"/>
      <c r="G6" s="4"/>
      <c r="H6" s="29" t="s">
        <v>44</v>
      </c>
      <c r="I6" s="69">
        <f>SUMIF(G9:G44,"Paid",F9:F44)</f>
        <v>0</v>
      </c>
      <c r="J6" s="4"/>
      <c r="K6" s="4"/>
      <c r="L6" s="1"/>
      <c r="M6" s="1"/>
      <c r="N6" s="1"/>
      <c r="O6" s="1"/>
      <c r="P6" s="1"/>
      <c r="Q6" s="1"/>
      <c r="R6" s="1"/>
      <c r="S6" s="1"/>
      <c r="T6" s="1"/>
      <c r="U6" s="9"/>
      <c r="V6" s="9"/>
      <c r="W6" s="9"/>
      <c r="X6" s="9"/>
      <c r="Y6" s="9"/>
      <c r="Z6" s="9"/>
    </row>
    <row r="7" ht="10.5" customHeight="1">
      <c r="A7" s="1"/>
      <c r="B7" s="4"/>
      <c r="C7" s="4"/>
      <c r="D7" s="4"/>
      <c r="E7" s="4"/>
      <c r="F7" s="4"/>
      <c r="G7" s="4"/>
      <c r="H7" s="4"/>
      <c r="I7" s="4"/>
      <c r="J7" s="4"/>
      <c r="K7" s="4"/>
      <c r="L7" s="1"/>
      <c r="M7" s="1"/>
      <c r="N7" s="1"/>
      <c r="O7" s="1"/>
      <c r="P7" s="1"/>
      <c r="Q7" s="1"/>
      <c r="R7" s="1"/>
      <c r="S7" s="1"/>
      <c r="T7" s="1"/>
      <c r="U7" s="9"/>
      <c r="V7" s="9"/>
      <c r="W7" s="9"/>
      <c r="X7" s="9"/>
      <c r="Y7" s="9"/>
      <c r="Z7" s="9"/>
    </row>
    <row r="8" ht="22.5" customHeight="1">
      <c r="A8" s="1"/>
      <c r="B8" s="78" t="s">
        <v>57</v>
      </c>
      <c r="C8" s="79" t="s">
        <v>64</v>
      </c>
      <c r="D8" s="79" t="s">
        <v>68</v>
      </c>
      <c r="E8" s="79" t="s">
        <v>71</v>
      </c>
      <c r="F8" s="79" t="s">
        <v>72</v>
      </c>
      <c r="G8" s="79" t="s">
        <v>74</v>
      </c>
      <c r="H8" s="79" t="s">
        <v>75</v>
      </c>
      <c r="I8" s="83" t="s">
        <v>77</v>
      </c>
      <c r="J8" s="1"/>
      <c r="K8" s="1"/>
      <c r="L8" s="1"/>
      <c r="M8" s="1"/>
      <c r="N8" s="1"/>
      <c r="O8" s="1"/>
      <c r="P8" s="1"/>
      <c r="Q8" s="1"/>
      <c r="R8" s="1"/>
      <c r="S8" s="9"/>
      <c r="T8" s="9"/>
      <c r="U8" s="9"/>
      <c r="V8" s="9"/>
      <c r="W8" s="9"/>
      <c r="X8" s="9"/>
    </row>
    <row r="9" ht="22.5" customHeight="1">
      <c r="A9" s="1"/>
      <c r="B9" s="91" t="s">
        <v>86</v>
      </c>
      <c r="C9" s="97">
        <f>IFERROR(__xludf.DUMMYFUNCTION("MAP(SEQUENCE(36), LAMBDA(m, WORKDAY(EDATE($I$4, m) - 1, 1, FILTER('NATIONAL HOLIDAYS'!$B$10:$B$95, 'NATIONAL HOLIDAYS'!$G$10:$G$95=""Closed""))))
"),46338.0)</f>
        <v>46338</v>
      </c>
      <c r="D9" s="110">
        <f t="array" ref="D9:D44">IF(B9:B44&lt;&gt;"", _xlfn.XLOOKUP($C$6, 'Investors Details'!$H$9:$H$19, 'Investors Details'!$M$9:$M$19), "")
</f>
        <v>25000</v>
      </c>
      <c r="E9" s="119" t="str">
        <f t="array" ref="E9:E44">IF(B9:B44="", "", IF(ROW(B9:B44)-ROW($B$8)&lt;=2, "Section 4 Deferral (Initial 2 Months)", IF(MONTH(C9:C44)=3, "Section 5 Waiver (March CNY Zero Return)", "Standard Monthly Payout")))
</f>
        <v>Section 4 Deferral (Initial 2 Months)</v>
      </c>
      <c r="F9" s="110">
        <f t="array" ref="F9:F44">IF(B9:B44="", "", IF(ROW(B9:B44)-ROW($B$8)&lt;=2, 0, IF(MONTH(C9:C44)=3, 0, D9:D44)))
</f>
        <v>0</v>
      </c>
      <c r="G9" s="120" t="str">
        <f t="array" ref="G9:G44">IF(B9:B44="", "", IF(ROW(B9:B44)-ROW($B$8)&lt;=2, "Deferred (Mo 1-2)", IF(MONTH(C9:C44)=3, "Waived (CNY March)", "Pending")))
</f>
        <v>Deferred (Mo 1-2)</v>
      </c>
      <c r="H9" s="125" t="str">
        <f t="array" ref="H9:H44">IF(B9:B44="", "", IF(F9:F44=0, "-", ""))
</f>
        <v>-</v>
      </c>
      <c r="I9" s="129" t="str">
        <f t="array" ref="I9:I44">IF(B9:B44="", "", IF(ROW(B9:B44)-ROW($B$8)&lt;=2, "Initial setup grace period", IF(MONTH(C9:C44)=3, "March Return Waived — Section 5", IF(ROW(B9:B44)-ROW($B$8)=36, "Final Scheduled Monthly Return — Return of Original Investment Handled Separately Under Section 8", IF(ROW(B9:B44)-ROW($B$8)=12, "End of Year 1", IF(ROW(B9:B44)-ROW($B$8)=24, "End of Year 2", "Regular monthly payout"))))))
</f>
        <v>Initial setup grace period</v>
      </c>
      <c r="J9" s="1"/>
      <c r="K9" s="1"/>
      <c r="L9" s="1"/>
      <c r="M9" s="1"/>
      <c r="N9" s="1"/>
      <c r="O9" s="1"/>
      <c r="P9" s="1"/>
      <c r="Q9" s="1"/>
      <c r="R9" s="1"/>
      <c r="S9" s="9"/>
      <c r="T9" s="9"/>
      <c r="U9" s="9"/>
      <c r="V9" s="9"/>
      <c r="W9" s="9"/>
      <c r="X9" s="9"/>
    </row>
    <row r="10" ht="22.5" customHeight="1">
      <c r="A10" s="1"/>
      <c r="B10" s="130" t="s">
        <v>127</v>
      </c>
      <c r="C10" s="97">
        <f>IFERROR(__xludf.DUMMYFUNCTION("""COMPUTED_VALUE"""),46370.0)</f>
        <v>46370</v>
      </c>
      <c r="D10" s="131">
        <v>25000.0</v>
      </c>
      <c r="E10" s="132" t="s">
        <v>128</v>
      </c>
      <c r="F10" s="131">
        <v>0.0</v>
      </c>
      <c r="G10" s="133" t="s">
        <v>129</v>
      </c>
      <c r="H10" s="134" t="s">
        <v>130</v>
      </c>
      <c r="I10" s="129" t="s">
        <v>131</v>
      </c>
      <c r="J10" s="1"/>
      <c r="K10" s="1"/>
      <c r="L10" s="1"/>
      <c r="M10" s="1"/>
      <c r="N10" s="1"/>
      <c r="O10" s="1"/>
      <c r="P10" s="1"/>
      <c r="Q10" s="1"/>
      <c r="R10" s="1"/>
      <c r="S10" s="9"/>
      <c r="T10" s="9"/>
      <c r="U10" s="9"/>
      <c r="V10" s="9"/>
      <c r="W10" s="9"/>
      <c r="X10" s="9"/>
    </row>
    <row r="11" ht="22.5" customHeight="1">
      <c r="A11" s="1"/>
      <c r="B11" s="130" t="s">
        <v>132</v>
      </c>
      <c r="C11" s="97">
        <f>IFERROR(__xludf.DUMMYFUNCTION("""COMPUTED_VALUE"""),46399.0)</f>
        <v>46399</v>
      </c>
      <c r="D11" s="131">
        <v>25000.0</v>
      </c>
      <c r="E11" s="132" t="s">
        <v>133</v>
      </c>
      <c r="F11" s="131">
        <v>25000.0</v>
      </c>
      <c r="G11" s="133" t="s">
        <v>112</v>
      </c>
      <c r="H11" s="135" t="s">
        <v>134</v>
      </c>
      <c r="I11" s="129" t="s">
        <v>135</v>
      </c>
      <c r="J11" s="1"/>
      <c r="K11" s="1"/>
      <c r="L11" s="1"/>
      <c r="M11" s="1"/>
      <c r="N11" s="1"/>
      <c r="O11" s="1"/>
      <c r="P11" s="1"/>
      <c r="Q11" s="1"/>
      <c r="R11" s="1"/>
      <c r="S11" s="9"/>
      <c r="T11" s="9"/>
      <c r="U11" s="9"/>
      <c r="V11" s="9"/>
      <c r="W11" s="9"/>
      <c r="X11" s="9"/>
    </row>
    <row r="12" ht="22.5" customHeight="1">
      <c r="A12" s="1"/>
      <c r="B12" s="130" t="s">
        <v>136</v>
      </c>
      <c r="C12" s="97">
        <f>IFERROR(__xludf.DUMMYFUNCTION("""COMPUTED_VALUE"""),46430.0)</f>
        <v>46430</v>
      </c>
      <c r="D12" s="131">
        <v>25000.0</v>
      </c>
      <c r="E12" s="132" t="s">
        <v>133</v>
      </c>
      <c r="F12" s="131">
        <v>25000.0</v>
      </c>
      <c r="G12" s="133" t="s">
        <v>112</v>
      </c>
      <c r="H12" s="135" t="s">
        <v>134</v>
      </c>
      <c r="I12" s="129" t="s">
        <v>135</v>
      </c>
      <c r="J12" s="1"/>
      <c r="K12" s="1"/>
      <c r="L12" s="1"/>
      <c r="M12" s="1"/>
      <c r="N12" s="1"/>
      <c r="O12" s="1"/>
      <c r="P12" s="1"/>
      <c r="Q12" s="1"/>
      <c r="R12" s="1"/>
      <c r="S12" s="9"/>
      <c r="T12" s="9"/>
      <c r="U12" s="9"/>
      <c r="V12" s="9"/>
      <c r="W12" s="9"/>
      <c r="X12" s="9"/>
    </row>
    <row r="13" ht="22.5" customHeight="1">
      <c r="A13" s="1"/>
      <c r="B13" s="130" t="s">
        <v>137</v>
      </c>
      <c r="C13" s="97">
        <f>IFERROR(__xludf.DUMMYFUNCTION("""COMPUTED_VALUE"""),46458.0)</f>
        <v>46458</v>
      </c>
      <c r="D13" s="131">
        <v>25000.0</v>
      </c>
      <c r="E13" s="132" t="s">
        <v>138</v>
      </c>
      <c r="F13" s="131">
        <v>0.0</v>
      </c>
      <c r="G13" s="133" t="s">
        <v>139</v>
      </c>
      <c r="H13" s="134" t="s">
        <v>130</v>
      </c>
      <c r="I13" s="129" t="s">
        <v>140</v>
      </c>
      <c r="J13" s="1"/>
      <c r="K13" s="1"/>
      <c r="L13" s="1"/>
      <c r="M13" s="1"/>
      <c r="N13" s="1"/>
      <c r="O13" s="1"/>
      <c r="P13" s="1"/>
      <c r="Q13" s="1"/>
      <c r="R13" s="1"/>
      <c r="S13" s="9"/>
      <c r="T13" s="9"/>
      <c r="U13" s="9"/>
      <c r="V13" s="9"/>
      <c r="W13" s="9"/>
      <c r="X13" s="9"/>
    </row>
    <row r="14" ht="22.5" customHeight="1">
      <c r="A14" s="1"/>
      <c r="B14" s="130" t="s">
        <v>141</v>
      </c>
      <c r="C14" s="97">
        <f>IFERROR(__xludf.DUMMYFUNCTION("""COMPUTED_VALUE"""),46489.0)</f>
        <v>46489</v>
      </c>
      <c r="D14" s="131">
        <v>25000.0</v>
      </c>
      <c r="E14" s="132" t="s">
        <v>133</v>
      </c>
      <c r="F14" s="131">
        <v>25000.0</v>
      </c>
      <c r="G14" s="133" t="s">
        <v>112</v>
      </c>
      <c r="H14" s="135" t="s">
        <v>134</v>
      </c>
      <c r="I14" s="129" t="s">
        <v>135</v>
      </c>
      <c r="J14" s="1"/>
      <c r="K14" s="1"/>
      <c r="L14" s="1"/>
      <c r="M14" s="1"/>
      <c r="N14" s="1"/>
      <c r="O14" s="1"/>
      <c r="P14" s="1"/>
      <c r="Q14" s="1"/>
      <c r="R14" s="1"/>
      <c r="S14" s="9"/>
      <c r="T14" s="9"/>
      <c r="U14" s="9"/>
      <c r="V14" s="9"/>
      <c r="W14" s="9"/>
      <c r="X14" s="9"/>
    </row>
    <row r="15" ht="22.5" customHeight="1">
      <c r="A15" s="1"/>
      <c r="B15" s="130" t="s">
        <v>142</v>
      </c>
      <c r="C15" s="97">
        <f>IFERROR(__xludf.DUMMYFUNCTION("""COMPUTED_VALUE"""),46519.0)</f>
        <v>46519</v>
      </c>
      <c r="D15" s="131">
        <v>25000.0</v>
      </c>
      <c r="E15" s="132" t="s">
        <v>133</v>
      </c>
      <c r="F15" s="131">
        <v>25000.0</v>
      </c>
      <c r="G15" s="133" t="s">
        <v>112</v>
      </c>
      <c r="H15" s="135" t="s">
        <v>134</v>
      </c>
      <c r="I15" s="129" t="s">
        <v>135</v>
      </c>
      <c r="J15" s="1"/>
      <c r="K15" s="1"/>
      <c r="L15" s="1"/>
      <c r="M15" s="1"/>
      <c r="N15" s="1"/>
      <c r="O15" s="1"/>
      <c r="P15" s="1"/>
      <c r="Q15" s="1"/>
      <c r="R15" s="1"/>
      <c r="S15" s="9"/>
      <c r="T15" s="9"/>
      <c r="U15" s="9"/>
      <c r="V15" s="9"/>
      <c r="W15" s="9"/>
      <c r="X15" s="9"/>
    </row>
    <row r="16" ht="22.5" customHeight="1">
      <c r="A16" s="1"/>
      <c r="B16" s="130" t="s">
        <v>143</v>
      </c>
      <c r="C16" s="97">
        <f>IFERROR(__xludf.DUMMYFUNCTION("""COMPUTED_VALUE"""),46552.0)</f>
        <v>46552</v>
      </c>
      <c r="D16" s="131">
        <v>25000.0</v>
      </c>
      <c r="E16" s="132" t="s">
        <v>133</v>
      </c>
      <c r="F16" s="131">
        <v>25000.0</v>
      </c>
      <c r="G16" s="133" t="s">
        <v>112</v>
      </c>
      <c r="H16" s="135" t="s">
        <v>134</v>
      </c>
      <c r="I16" s="129" t="s">
        <v>135</v>
      </c>
      <c r="J16" s="1"/>
      <c r="K16" s="1"/>
      <c r="L16" s="1"/>
      <c r="M16" s="1"/>
      <c r="N16" s="1"/>
      <c r="O16" s="1"/>
      <c r="P16" s="1"/>
      <c r="Q16" s="1"/>
      <c r="R16" s="1"/>
      <c r="S16" s="9"/>
      <c r="T16" s="9"/>
      <c r="U16" s="9"/>
      <c r="V16" s="9"/>
      <c r="W16" s="9"/>
      <c r="X16" s="9"/>
    </row>
    <row r="17" ht="22.5" customHeight="1">
      <c r="A17" s="1"/>
      <c r="B17" s="130" t="s">
        <v>144</v>
      </c>
      <c r="C17" s="97">
        <f>IFERROR(__xludf.DUMMYFUNCTION("""COMPUTED_VALUE"""),46580.0)</f>
        <v>46580</v>
      </c>
      <c r="D17" s="131">
        <v>25000.0</v>
      </c>
      <c r="E17" s="132" t="s">
        <v>133</v>
      </c>
      <c r="F17" s="131">
        <v>25000.0</v>
      </c>
      <c r="G17" s="133" t="s">
        <v>112</v>
      </c>
      <c r="H17" s="135" t="s">
        <v>134</v>
      </c>
      <c r="I17" s="129" t="s">
        <v>135</v>
      </c>
      <c r="J17" s="1"/>
      <c r="K17" s="1"/>
      <c r="L17" s="1"/>
      <c r="M17" s="1"/>
      <c r="N17" s="1"/>
      <c r="O17" s="1"/>
      <c r="P17" s="1"/>
      <c r="Q17" s="1"/>
      <c r="R17" s="1"/>
      <c r="S17" s="9"/>
      <c r="T17" s="9"/>
      <c r="U17" s="9"/>
      <c r="V17" s="9"/>
      <c r="W17" s="9"/>
      <c r="X17" s="9"/>
    </row>
    <row r="18" ht="22.5" customHeight="1">
      <c r="A18" s="1"/>
      <c r="B18" s="130" t="s">
        <v>145</v>
      </c>
      <c r="C18" s="97">
        <f>IFERROR(__xludf.DUMMYFUNCTION("""COMPUTED_VALUE"""),46611.0)</f>
        <v>46611</v>
      </c>
      <c r="D18" s="131">
        <v>25000.0</v>
      </c>
      <c r="E18" s="132" t="s">
        <v>133</v>
      </c>
      <c r="F18" s="131">
        <v>25000.0</v>
      </c>
      <c r="G18" s="133" t="s">
        <v>112</v>
      </c>
      <c r="H18" s="135" t="s">
        <v>134</v>
      </c>
      <c r="I18" s="129" t="s">
        <v>135</v>
      </c>
      <c r="J18" s="1"/>
      <c r="K18" s="1"/>
      <c r="L18" s="1"/>
      <c r="M18" s="1"/>
      <c r="N18" s="1"/>
      <c r="O18" s="1"/>
      <c r="P18" s="1"/>
      <c r="Q18" s="1"/>
      <c r="R18" s="1"/>
      <c r="S18" s="9"/>
      <c r="T18" s="9"/>
      <c r="U18" s="9"/>
      <c r="V18" s="9"/>
      <c r="W18" s="9"/>
      <c r="X18" s="9"/>
    </row>
    <row r="19" ht="22.5" customHeight="1">
      <c r="A19" s="1"/>
      <c r="B19" s="130" t="s">
        <v>146</v>
      </c>
      <c r="C19" s="97">
        <f>IFERROR(__xludf.DUMMYFUNCTION("""COMPUTED_VALUE"""),46643.0)</f>
        <v>46643</v>
      </c>
      <c r="D19" s="131">
        <v>25000.0</v>
      </c>
      <c r="E19" s="132" t="s">
        <v>133</v>
      </c>
      <c r="F19" s="131">
        <v>25000.0</v>
      </c>
      <c r="G19" s="133" t="s">
        <v>112</v>
      </c>
      <c r="H19" s="135" t="s">
        <v>134</v>
      </c>
      <c r="I19" s="129" t="s">
        <v>135</v>
      </c>
      <c r="J19" s="1"/>
      <c r="K19" s="1"/>
      <c r="L19" s="1"/>
      <c r="M19" s="1"/>
      <c r="N19" s="1"/>
      <c r="O19" s="1"/>
      <c r="P19" s="1"/>
      <c r="Q19" s="1"/>
      <c r="R19" s="1"/>
      <c r="S19" s="9"/>
      <c r="T19" s="9"/>
      <c r="U19" s="9"/>
      <c r="V19" s="9"/>
      <c r="W19" s="9"/>
      <c r="X19" s="9"/>
    </row>
    <row r="20" ht="22.5" customHeight="1">
      <c r="A20" s="1"/>
      <c r="B20" s="130" t="s">
        <v>147</v>
      </c>
      <c r="C20" s="97">
        <f>IFERROR(__xludf.DUMMYFUNCTION("""COMPUTED_VALUE"""),46672.0)</f>
        <v>46672</v>
      </c>
      <c r="D20" s="131">
        <v>25000.0</v>
      </c>
      <c r="E20" s="132" t="s">
        <v>133</v>
      </c>
      <c r="F20" s="131">
        <v>25000.0</v>
      </c>
      <c r="G20" s="133" t="s">
        <v>112</v>
      </c>
      <c r="H20" s="135" t="s">
        <v>134</v>
      </c>
      <c r="I20" s="129" t="s">
        <v>148</v>
      </c>
      <c r="J20" s="1"/>
      <c r="K20" s="1"/>
      <c r="L20" s="1"/>
      <c r="M20" s="1"/>
      <c r="N20" s="1"/>
      <c r="O20" s="1"/>
      <c r="P20" s="1"/>
      <c r="Q20" s="1"/>
      <c r="R20" s="1"/>
      <c r="S20" s="9"/>
      <c r="T20" s="9"/>
      <c r="U20" s="9"/>
      <c r="V20" s="9"/>
      <c r="W20" s="9"/>
      <c r="X20" s="9"/>
    </row>
    <row r="21" ht="22.5" customHeight="1">
      <c r="A21" s="1"/>
      <c r="B21" s="130" t="s">
        <v>149</v>
      </c>
      <c r="C21" s="97">
        <f>IFERROR(__xludf.DUMMYFUNCTION("""COMPUTED_VALUE"""),46703.0)</f>
        <v>46703</v>
      </c>
      <c r="D21" s="131">
        <v>25000.0</v>
      </c>
      <c r="E21" s="132" t="s">
        <v>133</v>
      </c>
      <c r="F21" s="131">
        <v>25000.0</v>
      </c>
      <c r="G21" s="133" t="s">
        <v>112</v>
      </c>
      <c r="H21" s="135" t="s">
        <v>134</v>
      </c>
      <c r="I21" s="129" t="s">
        <v>135</v>
      </c>
      <c r="J21" s="1"/>
      <c r="K21" s="1"/>
      <c r="L21" s="1"/>
      <c r="M21" s="1"/>
      <c r="N21" s="1"/>
      <c r="O21" s="1"/>
      <c r="P21" s="1"/>
      <c r="Q21" s="1"/>
      <c r="R21" s="1"/>
      <c r="S21" s="9"/>
      <c r="T21" s="9"/>
      <c r="U21" s="9"/>
      <c r="V21" s="9"/>
      <c r="W21" s="9"/>
      <c r="X21" s="9"/>
    </row>
    <row r="22" ht="22.5" customHeight="1">
      <c r="A22" s="1"/>
      <c r="B22" s="130" t="s">
        <v>150</v>
      </c>
      <c r="C22" s="97">
        <f>IFERROR(__xludf.DUMMYFUNCTION("""COMPUTED_VALUE"""),46734.0)</f>
        <v>46734</v>
      </c>
      <c r="D22" s="131">
        <v>25000.0</v>
      </c>
      <c r="E22" s="132" t="s">
        <v>133</v>
      </c>
      <c r="F22" s="131">
        <v>25000.0</v>
      </c>
      <c r="G22" s="133" t="s">
        <v>112</v>
      </c>
      <c r="H22" s="135" t="s">
        <v>134</v>
      </c>
      <c r="I22" s="129" t="s">
        <v>135</v>
      </c>
      <c r="J22" s="1"/>
      <c r="K22" s="1"/>
      <c r="L22" s="1"/>
      <c r="M22" s="1"/>
      <c r="N22" s="1"/>
      <c r="O22" s="1"/>
      <c r="P22" s="1"/>
      <c r="Q22" s="1"/>
      <c r="R22" s="1"/>
      <c r="S22" s="9"/>
      <c r="T22" s="9"/>
      <c r="U22" s="9"/>
      <c r="V22" s="9"/>
      <c r="W22" s="9"/>
      <c r="X22" s="9"/>
    </row>
    <row r="23" ht="22.5" customHeight="1">
      <c r="A23" s="1"/>
      <c r="B23" s="130" t="s">
        <v>151</v>
      </c>
      <c r="C23" s="97">
        <f>IFERROR(__xludf.DUMMYFUNCTION("""COMPUTED_VALUE"""),46764.0)</f>
        <v>46764</v>
      </c>
      <c r="D23" s="131">
        <v>25000.0</v>
      </c>
      <c r="E23" s="132" t="s">
        <v>133</v>
      </c>
      <c r="F23" s="131">
        <v>25000.0</v>
      </c>
      <c r="G23" s="133" t="s">
        <v>112</v>
      </c>
      <c r="H23" s="135" t="s">
        <v>134</v>
      </c>
      <c r="I23" s="129" t="s">
        <v>135</v>
      </c>
      <c r="J23" s="1"/>
      <c r="K23" s="1"/>
      <c r="L23" s="1"/>
      <c r="M23" s="1"/>
      <c r="N23" s="1"/>
      <c r="O23" s="1"/>
      <c r="P23" s="1"/>
      <c r="Q23" s="1"/>
      <c r="R23" s="1"/>
      <c r="S23" s="9"/>
      <c r="T23" s="9"/>
      <c r="U23" s="9"/>
      <c r="V23" s="9"/>
      <c r="W23" s="9"/>
      <c r="X23" s="9"/>
    </row>
    <row r="24" ht="22.5" customHeight="1">
      <c r="A24" s="1"/>
      <c r="B24" s="130" t="s">
        <v>152</v>
      </c>
      <c r="C24" s="97">
        <f>IFERROR(__xludf.DUMMYFUNCTION("""COMPUTED_VALUE"""),46797.0)</f>
        <v>46797</v>
      </c>
      <c r="D24" s="131">
        <v>25000.0</v>
      </c>
      <c r="E24" s="132" t="s">
        <v>133</v>
      </c>
      <c r="F24" s="131">
        <v>25000.0</v>
      </c>
      <c r="G24" s="133" t="s">
        <v>112</v>
      </c>
      <c r="H24" s="135" t="s">
        <v>134</v>
      </c>
      <c r="I24" s="129" t="s">
        <v>135</v>
      </c>
      <c r="J24" s="1"/>
      <c r="K24" s="1"/>
      <c r="L24" s="1"/>
      <c r="M24" s="1"/>
      <c r="N24" s="1"/>
      <c r="O24" s="1"/>
      <c r="P24" s="1"/>
      <c r="Q24" s="1"/>
      <c r="R24" s="1"/>
      <c r="S24" s="9"/>
      <c r="T24" s="9"/>
      <c r="U24" s="9"/>
      <c r="V24" s="9"/>
      <c r="W24" s="9"/>
      <c r="X24" s="9"/>
    </row>
    <row r="25" ht="22.5" customHeight="1">
      <c r="A25" s="1"/>
      <c r="B25" s="130" t="s">
        <v>153</v>
      </c>
      <c r="C25" s="97">
        <f>IFERROR(__xludf.DUMMYFUNCTION("""COMPUTED_VALUE"""),46825.0)</f>
        <v>46825</v>
      </c>
      <c r="D25" s="131">
        <v>25000.0</v>
      </c>
      <c r="E25" s="132" t="s">
        <v>138</v>
      </c>
      <c r="F25" s="131">
        <v>0.0</v>
      </c>
      <c r="G25" s="133" t="s">
        <v>139</v>
      </c>
      <c r="H25" s="134" t="s">
        <v>130</v>
      </c>
      <c r="I25" s="129" t="s">
        <v>140</v>
      </c>
      <c r="J25" s="1"/>
      <c r="K25" s="1"/>
      <c r="L25" s="1"/>
      <c r="M25" s="1"/>
      <c r="N25" s="1"/>
      <c r="O25" s="1"/>
      <c r="P25" s="1"/>
      <c r="Q25" s="1"/>
      <c r="R25" s="1"/>
      <c r="S25" s="9"/>
      <c r="T25" s="9"/>
      <c r="U25" s="9"/>
      <c r="V25" s="9"/>
      <c r="W25" s="9"/>
      <c r="X25" s="9"/>
    </row>
    <row r="26" ht="22.5" customHeight="1">
      <c r="A26" s="1"/>
      <c r="B26" s="130" t="s">
        <v>154</v>
      </c>
      <c r="C26" s="97">
        <f>IFERROR(__xludf.DUMMYFUNCTION("""COMPUTED_VALUE"""),46855.0)</f>
        <v>46855</v>
      </c>
      <c r="D26" s="131">
        <v>25000.0</v>
      </c>
      <c r="E26" s="132" t="s">
        <v>133</v>
      </c>
      <c r="F26" s="131">
        <v>25000.0</v>
      </c>
      <c r="G26" s="133" t="s">
        <v>112</v>
      </c>
      <c r="H26" s="135" t="s">
        <v>134</v>
      </c>
      <c r="I26" s="129" t="s">
        <v>135</v>
      </c>
      <c r="J26" s="1"/>
      <c r="K26" s="1"/>
      <c r="L26" s="1"/>
      <c r="M26" s="1"/>
      <c r="N26" s="1"/>
      <c r="O26" s="1"/>
      <c r="P26" s="1"/>
      <c r="Q26" s="1"/>
      <c r="R26" s="1"/>
      <c r="S26" s="9"/>
      <c r="T26" s="9"/>
      <c r="U26" s="9"/>
      <c r="V26" s="9"/>
      <c r="W26" s="9"/>
      <c r="X26" s="9"/>
    </row>
    <row r="27" ht="22.5" customHeight="1">
      <c r="A27" s="1"/>
      <c r="B27" s="130" t="s">
        <v>155</v>
      </c>
      <c r="C27" s="97">
        <f>IFERROR(__xludf.DUMMYFUNCTION("""COMPUTED_VALUE"""),46885.0)</f>
        <v>46885</v>
      </c>
      <c r="D27" s="131">
        <v>25000.0</v>
      </c>
      <c r="E27" s="132" t="s">
        <v>133</v>
      </c>
      <c r="F27" s="131">
        <v>25000.0</v>
      </c>
      <c r="G27" s="133" t="s">
        <v>112</v>
      </c>
      <c r="H27" s="135" t="s">
        <v>134</v>
      </c>
      <c r="I27" s="129" t="s">
        <v>135</v>
      </c>
      <c r="J27" s="1"/>
      <c r="K27" s="1"/>
      <c r="L27" s="1"/>
      <c r="M27" s="1"/>
      <c r="N27" s="1"/>
      <c r="O27" s="1"/>
      <c r="P27" s="1"/>
      <c r="Q27" s="1"/>
      <c r="R27" s="1"/>
      <c r="S27" s="9"/>
      <c r="T27" s="9"/>
      <c r="U27" s="9"/>
      <c r="V27" s="9"/>
      <c r="W27" s="9"/>
      <c r="X27" s="9"/>
    </row>
    <row r="28" ht="22.5" customHeight="1">
      <c r="A28" s="1"/>
      <c r="B28" s="130" t="s">
        <v>156</v>
      </c>
      <c r="C28" s="97">
        <f>IFERROR(__xludf.DUMMYFUNCTION("""COMPUTED_VALUE"""),46917.0)</f>
        <v>46917</v>
      </c>
      <c r="D28" s="131">
        <v>25000.0</v>
      </c>
      <c r="E28" s="132" t="s">
        <v>133</v>
      </c>
      <c r="F28" s="131">
        <v>25000.0</v>
      </c>
      <c r="G28" s="133" t="s">
        <v>112</v>
      </c>
      <c r="H28" s="135" t="s">
        <v>134</v>
      </c>
      <c r="I28" s="129" t="s">
        <v>135</v>
      </c>
      <c r="J28" s="1"/>
      <c r="K28" s="1"/>
      <c r="L28" s="1"/>
      <c r="M28" s="1"/>
      <c r="N28" s="1"/>
      <c r="O28" s="1"/>
      <c r="P28" s="1"/>
      <c r="Q28" s="1"/>
      <c r="R28" s="1"/>
      <c r="S28" s="9"/>
      <c r="T28" s="9"/>
      <c r="U28" s="9"/>
      <c r="V28" s="9"/>
      <c r="W28" s="9"/>
      <c r="X28" s="9"/>
    </row>
    <row r="29" ht="22.5" customHeight="1">
      <c r="A29" s="1"/>
      <c r="B29" s="130" t="s">
        <v>157</v>
      </c>
      <c r="C29" s="97">
        <f>IFERROR(__xludf.DUMMYFUNCTION("""COMPUTED_VALUE"""),46946.0)</f>
        <v>46946</v>
      </c>
      <c r="D29" s="131">
        <v>25000.0</v>
      </c>
      <c r="E29" s="132" t="s">
        <v>133</v>
      </c>
      <c r="F29" s="131">
        <v>25000.0</v>
      </c>
      <c r="G29" s="133" t="s">
        <v>112</v>
      </c>
      <c r="H29" s="135" t="s">
        <v>134</v>
      </c>
      <c r="I29" s="129" t="s">
        <v>135</v>
      </c>
      <c r="J29" s="1"/>
      <c r="K29" s="1"/>
      <c r="L29" s="1"/>
      <c r="M29" s="1"/>
      <c r="N29" s="1"/>
      <c r="O29" s="1"/>
      <c r="P29" s="1"/>
      <c r="Q29" s="1"/>
      <c r="R29" s="1"/>
      <c r="S29" s="9"/>
      <c r="T29" s="9"/>
      <c r="U29" s="9"/>
      <c r="V29" s="9"/>
      <c r="W29" s="9"/>
      <c r="X29" s="9"/>
    </row>
    <row r="30" ht="22.5" customHeight="1">
      <c r="A30" s="1"/>
      <c r="B30" s="130" t="s">
        <v>158</v>
      </c>
      <c r="C30" s="97">
        <f>IFERROR(__xludf.DUMMYFUNCTION("""COMPUTED_VALUE"""),46979.0)</f>
        <v>46979</v>
      </c>
      <c r="D30" s="131">
        <v>25000.0</v>
      </c>
      <c r="E30" s="132" t="s">
        <v>133</v>
      </c>
      <c r="F30" s="131">
        <v>25000.0</v>
      </c>
      <c r="G30" s="133" t="s">
        <v>112</v>
      </c>
      <c r="H30" s="135" t="s">
        <v>134</v>
      </c>
      <c r="I30" s="129" t="s">
        <v>135</v>
      </c>
      <c r="J30" s="1"/>
      <c r="K30" s="1"/>
      <c r="L30" s="1"/>
      <c r="M30" s="1"/>
      <c r="N30" s="1"/>
      <c r="O30" s="1"/>
      <c r="P30" s="1"/>
      <c r="Q30" s="1"/>
      <c r="R30" s="1"/>
      <c r="S30" s="9"/>
      <c r="T30" s="9"/>
      <c r="U30" s="9"/>
      <c r="V30" s="9"/>
      <c r="W30" s="9"/>
      <c r="X30" s="9"/>
    </row>
    <row r="31" ht="22.5" customHeight="1">
      <c r="A31" s="1"/>
      <c r="B31" s="130" t="s">
        <v>159</v>
      </c>
      <c r="C31" s="97">
        <f>IFERROR(__xludf.DUMMYFUNCTION("""COMPUTED_VALUE"""),47008.0)</f>
        <v>47008</v>
      </c>
      <c r="D31" s="131">
        <v>25000.0</v>
      </c>
      <c r="E31" s="132" t="s">
        <v>133</v>
      </c>
      <c r="F31" s="131">
        <v>25000.0</v>
      </c>
      <c r="G31" s="133" t="s">
        <v>112</v>
      </c>
      <c r="H31" s="135" t="s">
        <v>134</v>
      </c>
      <c r="I31" s="129" t="s">
        <v>135</v>
      </c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9"/>
    </row>
    <row r="32" ht="22.5" customHeight="1">
      <c r="A32" s="1"/>
      <c r="B32" s="130" t="s">
        <v>160</v>
      </c>
      <c r="C32" s="97">
        <f>IFERROR(__xludf.DUMMYFUNCTION("""COMPUTED_VALUE"""),47038.0)</f>
        <v>47038</v>
      </c>
      <c r="D32" s="131">
        <v>25000.0</v>
      </c>
      <c r="E32" s="132" t="s">
        <v>133</v>
      </c>
      <c r="F32" s="131">
        <v>25000.0</v>
      </c>
      <c r="G32" s="133" t="s">
        <v>112</v>
      </c>
      <c r="H32" s="135" t="s">
        <v>134</v>
      </c>
      <c r="I32" s="129" t="s">
        <v>161</v>
      </c>
      <c r="J32" s="1"/>
      <c r="K32" s="1"/>
      <c r="L32" s="1"/>
      <c r="M32" s="1"/>
      <c r="N32" s="1"/>
      <c r="O32" s="1"/>
      <c r="P32" s="1"/>
      <c r="Q32" s="1"/>
      <c r="R32" s="1"/>
      <c r="S32" s="9"/>
      <c r="T32" s="9"/>
      <c r="U32" s="9"/>
      <c r="V32" s="9"/>
      <c r="W32" s="9"/>
      <c r="X32" s="9"/>
    </row>
    <row r="33" ht="22.5" customHeight="1">
      <c r="A33" s="1"/>
      <c r="B33" s="130" t="s">
        <v>162</v>
      </c>
      <c r="C33" s="97">
        <f>IFERROR(__xludf.DUMMYFUNCTION("""COMPUTED_VALUE"""),47070.0)</f>
        <v>47070</v>
      </c>
      <c r="D33" s="131">
        <v>25000.0</v>
      </c>
      <c r="E33" s="132" t="s">
        <v>133</v>
      </c>
      <c r="F33" s="131">
        <v>25000.0</v>
      </c>
      <c r="G33" s="133" t="s">
        <v>112</v>
      </c>
      <c r="H33" s="135" t="s">
        <v>134</v>
      </c>
      <c r="I33" s="129" t="s">
        <v>135</v>
      </c>
      <c r="J33" s="1"/>
      <c r="K33" s="1"/>
      <c r="L33" s="1"/>
      <c r="M33" s="1"/>
      <c r="N33" s="1"/>
      <c r="O33" s="1"/>
      <c r="P33" s="1"/>
      <c r="Q33" s="1"/>
      <c r="R33" s="1"/>
      <c r="S33" s="9"/>
      <c r="T33" s="9"/>
      <c r="U33" s="9"/>
      <c r="V33" s="9"/>
      <c r="W33" s="9"/>
      <c r="X33" s="9"/>
    </row>
    <row r="34" ht="22.5" customHeight="1">
      <c r="A34" s="1"/>
      <c r="B34" s="130" t="s">
        <v>163</v>
      </c>
      <c r="C34" s="97">
        <f>IFERROR(__xludf.DUMMYFUNCTION("""COMPUTED_VALUE"""),47099.0)</f>
        <v>47099</v>
      </c>
      <c r="D34" s="131">
        <v>25000.0</v>
      </c>
      <c r="E34" s="132" t="s">
        <v>133</v>
      </c>
      <c r="F34" s="131">
        <v>25000.0</v>
      </c>
      <c r="G34" s="133" t="s">
        <v>112</v>
      </c>
      <c r="H34" s="135" t="s">
        <v>134</v>
      </c>
      <c r="I34" s="129" t="s">
        <v>135</v>
      </c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9"/>
    </row>
    <row r="35" ht="22.5" customHeight="1">
      <c r="A35" s="1"/>
      <c r="B35" s="130" t="s">
        <v>164</v>
      </c>
      <c r="C35" s="97">
        <f>IFERROR(__xludf.DUMMYFUNCTION("""COMPUTED_VALUE"""),47130.0)</f>
        <v>47130</v>
      </c>
      <c r="D35" s="131">
        <v>25000.0</v>
      </c>
      <c r="E35" s="132" t="s">
        <v>133</v>
      </c>
      <c r="F35" s="131">
        <v>25000.0</v>
      </c>
      <c r="G35" s="133" t="s">
        <v>112</v>
      </c>
      <c r="H35" s="135" t="s">
        <v>134</v>
      </c>
      <c r="I35" s="129" t="s">
        <v>135</v>
      </c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9"/>
    </row>
    <row r="36" ht="22.5" customHeight="1">
      <c r="A36" s="1"/>
      <c r="B36" s="130" t="s">
        <v>165</v>
      </c>
      <c r="C36" s="97">
        <f>IFERROR(__xludf.DUMMYFUNCTION("""COMPUTED_VALUE"""),47161.0)</f>
        <v>47161</v>
      </c>
      <c r="D36" s="131">
        <v>25000.0</v>
      </c>
      <c r="E36" s="132" t="s">
        <v>133</v>
      </c>
      <c r="F36" s="131">
        <v>25000.0</v>
      </c>
      <c r="G36" s="133" t="s">
        <v>112</v>
      </c>
      <c r="H36" s="135" t="s">
        <v>134</v>
      </c>
      <c r="I36" s="129" t="s">
        <v>135</v>
      </c>
      <c r="J36" s="1"/>
      <c r="K36" s="1"/>
      <c r="L36" s="1"/>
      <c r="M36" s="1"/>
      <c r="N36" s="1"/>
      <c r="O36" s="1"/>
      <c r="P36" s="1"/>
      <c r="Q36" s="1"/>
      <c r="R36" s="1"/>
      <c r="S36" s="9"/>
      <c r="T36" s="9"/>
      <c r="U36" s="9"/>
      <c r="V36" s="9"/>
      <c r="W36" s="9"/>
      <c r="X36" s="9"/>
    </row>
    <row r="37" ht="22.5" customHeight="1">
      <c r="A37" s="1"/>
      <c r="B37" s="130" t="s">
        <v>166</v>
      </c>
      <c r="C37" s="97">
        <f>IFERROR(__xludf.DUMMYFUNCTION("""COMPUTED_VALUE"""),47189.0)</f>
        <v>47189</v>
      </c>
      <c r="D37" s="131">
        <v>25000.0</v>
      </c>
      <c r="E37" s="132" t="s">
        <v>138</v>
      </c>
      <c r="F37" s="131">
        <v>0.0</v>
      </c>
      <c r="G37" s="133" t="s">
        <v>139</v>
      </c>
      <c r="H37" s="134" t="s">
        <v>130</v>
      </c>
      <c r="I37" s="129" t="s">
        <v>140</v>
      </c>
      <c r="J37" s="1"/>
      <c r="K37" s="1"/>
      <c r="L37" s="1"/>
      <c r="M37" s="1"/>
      <c r="N37" s="1"/>
      <c r="O37" s="1"/>
      <c r="P37" s="1"/>
      <c r="Q37" s="1"/>
      <c r="R37" s="1"/>
      <c r="S37" s="9"/>
      <c r="T37" s="9"/>
      <c r="U37" s="9"/>
      <c r="V37" s="9"/>
      <c r="W37" s="9"/>
      <c r="X37" s="9"/>
    </row>
    <row r="38" ht="22.5" customHeight="1">
      <c r="A38" s="1"/>
      <c r="B38" s="130" t="s">
        <v>167</v>
      </c>
      <c r="C38" s="97">
        <f>IFERROR(__xludf.DUMMYFUNCTION("""COMPUTED_VALUE"""),47220.0)</f>
        <v>47220</v>
      </c>
      <c r="D38" s="131">
        <v>25000.0</v>
      </c>
      <c r="E38" s="132" t="s">
        <v>133</v>
      </c>
      <c r="F38" s="131">
        <v>25000.0</v>
      </c>
      <c r="G38" s="133" t="s">
        <v>112</v>
      </c>
      <c r="H38" s="135" t="s">
        <v>134</v>
      </c>
      <c r="I38" s="129" t="s">
        <v>135</v>
      </c>
      <c r="J38" s="1"/>
      <c r="K38" s="1"/>
      <c r="L38" s="1"/>
      <c r="M38" s="1"/>
      <c r="N38" s="1"/>
      <c r="O38" s="1"/>
      <c r="P38" s="1"/>
      <c r="Q38" s="1"/>
      <c r="R38" s="1"/>
      <c r="S38" s="9"/>
      <c r="T38" s="9"/>
      <c r="U38" s="9"/>
      <c r="V38" s="9"/>
      <c r="W38" s="9"/>
      <c r="X38" s="9"/>
    </row>
    <row r="39" ht="22.5" customHeight="1">
      <c r="A39" s="1"/>
      <c r="B39" s="130" t="s">
        <v>168</v>
      </c>
      <c r="C39" s="97">
        <f>IFERROR(__xludf.DUMMYFUNCTION("""COMPUTED_VALUE"""),47252.0)</f>
        <v>47252</v>
      </c>
      <c r="D39" s="131">
        <v>25000.0</v>
      </c>
      <c r="E39" s="132" t="s">
        <v>133</v>
      </c>
      <c r="F39" s="131">
        <v>25000.0</v>
      </c>
      <c r="G39" s="133" t="s">
        <v>112</v>
      </c>
      <c r="H39" s="135" t="s">
        <v>134</v>
      </c>
      <c r="I39" s="129" t="s">
        <v>135</v>
      </c>
      <c r="J39" s="1"/>
      <c r="K39" s="1"/>
      <c r="L39" s="1"/>
      <c r="M39" s="1"/>
      <c r="N39" s="1"/>
      <c r="O39" s="1"/>
      <c r="P39" s="1"/>
      <c r="Q39" s="1"/>
      <c r="R39" s="1"/>
      <c r="S39" s="9"/>
      <c r="T39" s="9"/>
      <c r="U39" s="9"/>
      <c r="V39" s="9"/>
      <c r="W39" s="9"/>
      <c r="X39" s="9"/>
    </row>
    <row r="40" ht="22.5" customHeight="1">
      <c r="A40" s="1"/>
      <c r="B40" s="130" t="s">
        <v>169</v>
      </c>
      <c r="C40" s="97">
        <f>IFERROR(__xludf.DUMMYFUNCTION("""COMPUTED_VALUE"""),47282.0)</f>
        <v>47282</v>
      </c>
      <c r="D40" s="131">
        <v>25000.0</v>
      </c>
      <c r="E40" s="132" t="s">
        <v>133</v>
      </c>
      <c r="F40" s="131">
        <v>25000.0</v>
      </c>
      <c r="G40" s="133" t="s">
        <v>112</v>
      </c>
      <c r="H40" s="135" t="s">
        <v>134</v>
      </c>
      <c r="I40" s="129" t="s">
        <v>135</v>
      </c>
      <c r="J40" s="1"/>
      <c r="K40" s="1"/>
      <c r="L40" s="1"/>
      <c r="M40" s="1"/>
      <c r="N40" s="1"/>
      <c r="O40" s="1"/>
      <c r="P40" s="1"/>
      <c r="Q40" s="1"/>
      <c r="R40" s="1"/>
      <c r="S40" s="9"/>
      <c r="T40" s="9"/>
      <c r="U40" s="9"/>
      <c r="V40" s="9"/>
      <c r="W40" s="9"/>
      <c r="X40" s="9"/>
    </row>
    <row r="41" ht="22.5" customHeight="1">
      <c r="A41" s="1"/>
      <c r="B41" s="130" t="s">
        <v>170</v>
      </c>
      <c r="C41" s="97">
        <f>IFERROR(__xludf.DUMMYFUNCTION("""COMPUTED_VALUE"""),47311.0)</f>
        <v>47311</v>
      </c>
      <c r="D41" s="131">
        <v>25000.0</v>
      </c>
      <c r="E41" s="132" t="s">
        <v>133</v>
      </c>
      <c r="F41" s="131">
        <v>25000.0</v>
      </c>
      <c r="G41" s="133" t="s">
        <v>112</v>
      </c>
      <c r="H41" s="135" t="s">
        <v>134</v>
      </c>
      <c r="I41" s="129" t="s">
        <v>135</v>
      </c>
      <c r="J41" s="1"/>
      <c r="K41" s="1"/>
      <c r="L41" s="1"/>
      <c r="M41" s="1"/>
      <c r="N41" s="1"/>
      <c r="O41" s="1"/>
      <c r="P41" s="1"/>
      <c r="Q41" s="1"/>
      <c r="R41" s="1"/>
      <c r="S41" s="9"/>
      <c r="T41" s="9"/>
      <c r="U41" s="9"/>
      <c r="V41" s="9"/>
      <c r="W41" s="9"/>
      <c r="X41" s="9"/>
    </row>
    <row r="42" ht="22.5" customHeight="1">
      <c r="A42" s="1"/>
      <c r="B42" s="130" t="s">
        <v>171</v>
      </c>
      <c r="C42" s="97">
        <f>IFERROR(__xludf.DUMMYFUNCTION("""COMPUTED_VALUE"""),47343.0)</f>
        <v>47343</v>
      </c>
      <c r="D42" s="131">
        <v>25000.0</v>
      </c>
      <c r="E42" s="132" t="s">
        <v>133</v>
      </c>
      <c r="F42" s="131">
        <v>25000.0</v>
      </c>
      <c r="G42" s="133" t="s">
        <v>112</v>
      </c>
      <c r="H42" s="135" t="s">
        <v>134</v>
      </c>
      <c r="I42" s="129" t="s">
        <v>135</v>
      </c>
      <c r="J42" s="1"/>
      <c r="K42" s="1"/>
      <c r="L42" s="1"/>
      <c r="M42" s="1"/>
      <c r="N42" s="1"/>
      <c r="O42" s="1"/>
      <c r="P42" s="1"/>
      <c r="Q42" s="1"/>
      <c r="R42" s="1"/>
      <c r="S42" s="9"/>
      <c r="T42" s="9"/>
      <c r="U42" s="9"/>
      <c r="V42" s="9"/>
      <c r="W42" s="9"/>
      <c r="X42" s="9"/>
    </row>
    <row r="43" ht="22.5" customHeight="1">
      <c r="A43" s="1"/>
      <c r="B43" s="130" t="s">
        <v>172</v>
      </c>
      <c r="C43" s="97">
        <f>IFERROR(__xludf.DUMMYFUNCTION("""COMPUTED_VALUE"""),47373.0)</f>
        <v>47373</v>
      </c>
      <c r="D43" s="131">
        <v>25000.0</v>
      </c>
      <c r="E43" s="132" t="s">
        <v>133</v>
      </c>
      <c r="F43" s="131">
        <v>25000.0</v>
      </c>
      <c r="G43" s="133" t="s">
        <v>112</v>
      </c>
      <c r="H43" s="135" t="s">
        <v>134</v>
      </c>
      <c r="I43" s="129" t="s">
        <v>135</v>
      </c>
      <c r="J43" s="1"/>
      <c r="K43" s="1"/>
      <c r="L43" s="1"/>
      <c r="M43" s="1"/>
      <c r="N43" s="1"/>
      <c r="O43" s="1"/>
      <c r="P43" s="1"/>
      <c r="Q43" s="1"/>
      <c r="R43" s="1"/>
      <c r="S43" s="9"/>
      <c r="T43" s="9"/>
      <c r="U43" s="9"/>
      <c r="V43" s="9"/>
      <c r="W43" s="9"/>
      <c r="X43" s="9"/>
    </row>
    <row r="44" ht="22.5" customHeight="1">
      <c r="A44" s="1"/>
      <c r="B44" s="130" t="s">
        <v>173</v>
      </c>
      <c r="C44" s="97">
        <f>IFERROR(__xludf.DUMMYFUNCTION("""COMPUTED_VALUE"""),47403.0)</f>
        <v>47403</v>
      </c>
      <c r="D44" s="131">
        <v>25000.0</v>
      </c>
      <c r="E44" s="132" t="s">
        <v>133</v>
      </c>
      <c r="F44" s="131">
        <v>25000.0</v>
      </c>
      <c r="G44" s="133" t="s">
        <v>112</v>
      </c>
      <c r="H44" s="135" t="s">
        <v>134</v>
      </c>
      <c r="I44" s="129" t="s">
        <v>174</v>
      </c>
      <c r="J44" s="1"/>
      <c r="K44" s="1"/>
      <c r="L44" s="1"/>
      <c r="M44" s="1"/>
      <c r="N44" s="1"/>
      <c r="O44" s="1"/>
      <c r="P44" s="1"/>
      <c r="Q44" s="1"/>
      <c r="R44" s="1"/>
      <c r="S44" s="9"/>
      <c r="T44" s="9"/>
      <c r="U44" s="9"/>
      <c r="V44" s="9"/>
      <c r="W44" s="9"/>
      <c r="X44" s="9"/>
    </row>
    <row r="45" ht="27.0" customHeight="1">
      <c r="A45" s="1"/>
      <c r="B45" s="136" t="s">
        <v>175</v>
      </c>
      <c r="C45" s="137"/>
      <c r="D45" s="138">
        <f>SUM(D9:D44)</f>
        <v>900000</v>
      </c>
      <c r="E45" s="139"/>
      <c r="F45" s="138">
        <f>SUM(F9:F44)</f>
        <v>775000</v>
      </c>
      <c r="G45" s="140"/>
      <c r="H45" s="139"/>
      <c r="I45" s="141"/>
      <c r="J45" s="1"/>
      <c r="K45" s="1"/>
      <c r="L45" s="1"/>
      <c r="M45" s="1"/>
      <c r="N45" s="1"/>
      <c r="O45" s="1"/>
      <c r="P45" s="1"/>
      <c r="Q45" s="1"/>
      <c r="R45" s="1"/>
      <c r="S45" s="9"/>
      <c r="T45" s="9"/>
      <c r="U45" s="9"/>
      <c r="V45" s="9"/>
      <c r="W45" s="9"/>
      <c r="X45" s="9"/>
    </row>
  </sheetData>
  <mergeCells count="3">
    <mergeCell ref="B2:I2"/>
    <mergeCell ref="B3:I3"/>
    <mergeCell ref="B45:C45"/>
  </mergeCells>
  <dataValidations>
    <dataValidation type="list" allowBlank="1" showDropDown="1" showErrorMessage="1" sqref="C4">
      <formula1>'Investors Details'!$C$9:$C$19</formula1>
    </dataValidation>
    <dataValidation type="list" allowBlank="1" showDropDown="1" showErrorMessage="1" sqref="C6">
      <formula1>'Payout Schedule'!$M$4:$M$7</formula1>
    </dataValidation>
    <dataValidation type="list" allowBlank="1" sqref="G9:G44">
      <formula1>"Paid,Pending,Deferred (Mo 1-2),Waived (CNY March)"</formula1>
    </dataValidation>
  </dataValidations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2.63" defaultRowHeight="15.75"/>
  <cols>
    <col customWidth="1" min="1" max="1" width="2.75"/>
    <col customWidth="1" min="2" max="2" width="37.38"/>
    <col customWidth="1" min="3" max="3" width="7.63"/>
    <col customWidth="1" min="4" max="4" width="35.13"/>
    <col customWidth="1" min="5" max="5" width="13.13"/>
    <col customWidth="1" min="6" max="6" width="29.75"/>
    <col customWidth="1" min="7" max="7" width="15.38"/>
    <col customWidth="1" min="8" max="8" width="31.13"/>
  </cols>
  <sheetData>
    <row r="1" ht="6.75" customHeight="1">
      <c r="A1" s="9"/>
      <c r="B1" s="9"/>
      <c r="C1" s="9"/>
      <c r="D1" s="9"/>
      <c r="E1" s="9"/>
      <c r="F1" s="9"/>
      <c r="G1" s="10"/>
      <c r="H1" s="9"/>
      <c r="I1" s="9"/>
    </row>
    <row r="2" ht="24.0" customHeight="1">
      <c r="A2" s="9"/>
      <c r="B2" s="13" t="s">
        <v>6</v>
      </c>
      <c r="I2" s="9"/>
    </row>
    <row r="3" ht="15.0" customHeight="1">
      <c r="A3" s="9"/>
      <c r="B3" s="15" t="s">
        <v>7</v>
      </c>
      <c r="I3" s="9"/>
    </row>
    <row r="4" ht="16.5" customHeight="1">
      <c r="A4" s="9"/>
      <c r="B4" s="17" t="s">
        <v>8</v>
      </c>
      <c r="C4" s="18"/>
      <c r="D4" s="21" t="s">
        <v>10</v>
      </c>
      <c r="E4" s="18"/>
      <c r="F4" s="23" t="s">
        <v>14</v>
      </c>
      <c r="G4" s="18"/>
      <c r="H4" s="26" t="s">
        <v>17</v>
      </c>
      <c r="I4" s="9"/>
    </row>
    <row r="5" ht="25.5" customHeight="1">
      <c r="A5" s="9"/>
      <c r="B5" s="30">
        <f>COUNTA(B10:B95)</f>
        <v>86</v>
      </c>
      <c r="C5" s="31"/>
      <c r="D5" s="35">
        <f>COUNTIF(F10:F95, "Regular Holiday")</f>
        <v>50</v>
      </c>
      <c r="E5" s="31"/>
      <c r="F5" s="39">
        <f>COUNTIF(F10:F95, "Special Non-Working Day")</f>
        <v>31</v>
      </c>
      <c r="G5" s="31"/>
      <c r="H5" s="43">
        <f>COUNTIF(F10:F95, "Special Working Day")</f>
        <v>5</v>
      </c>
      <c r="I5" s="9"/>
    </row>
    <row r="6" ht="15.0" customHeight="1">
      <c r="A6" s="9"/>
      <c r="B6" s="44" t="s">
        <v>24</v>
      </c>
      <c r="C6" s="45"/>
      <c r="D6" s="46" t="s">
        <v>26</v>
      </c>
      <c r="E6" s="45"/>
      <c r="F6" s="47" t="s">
        <v>27</v>
      </c>
      <c r="G6" s="45"/>
      <c r="H6" s="49" t="s">
        <v>28</v>
      </c>
      <c r="I6" s="9"/>
    </row>
    <row r="7" ht="9.0" customHeight="1">
      <c r="A7" s="9"/>
      <c r="B7" s="9"/>
      <c r="C7" s="9"/>
      <c r="D7" s="9"/>
      <c r="E7" s="9"/>
      <c r="F7" s="9"/>
      <c r="G7" s="10"/>
      <c r="H7" s="9"/>
      <c r="I7" s="9"/>
    </row>
    <row r="8" ht="10.5" customHeight="1">
      <c r="A8" s="9"/>
      <c r="B8" s="9"/>
      <c r="C8" s="9"/>
      <c r="D8" s="9"/>
      <c r="E8" s="9"/>
      <c r="F8" s="9"/>
      <c r="G8" s="10"/>
      <c r="H8" s="9"/>
      <c r="I8" s="9"/>
    </row>
    <row r="9" ht="21.0" customHeight="1">
      <c r="A9" s="9"/>
      <c r="B9" s="54" t="s">
        <v>30</v>
      </c>
      <c r="C9" s="55" t="s">
        <v>32</v>
      </c>
      <c r="D9" s="55" t="s">
        <v>33</v>
      </c>
      <c r="E9" s="55" t="s">
        <v>34</v>
      </c>
      <c r="F9" s="55" t="s">
        <v>35</v>
      </c>
      <c r="G9" s="55" t="s">
        <v>36</v>
      </c>
      <c r="H9" s="59" t="s">
        <v>38</v>
      </c>
      <c r="I9" s="9"/>
    </row>
    <row r="10" ht="16.5" customHeight="1">
      <c r="A10" s="9"/>
      <c r="B10" s="61">
        <v>46023.0</v>
      </c>
      <c r="C10" s="64">
        <f t="shared" ref="C10:C95" si="1">YEAR(B10)</f>
        <v>2026</v>
      </c>
      <c r="D10" s="65" t="s">
        <v>45</v>
      </c>
      <c r="E10" s="68" t="str">
        <f t="shared" ref="E10:E95" si="2">TEXT(B10, "dddd")</f>
        <v>Thursday</v>
      </c>
      <c r="F10" s="72" t="s">
        <v>48</v>
      </c>
      <c r="G10" s="74" t="s">
        <v>55</v>
      </c>
      <c r="H10" s="77" t="s">
        <v>58</v>
      </c>
      <c r="I10" s="9"/>
    </row>
    <row r="11" ht="16.5" customHeight="1">
      <c r="A11" s="9"/>
      <c r="B11" s="61">
        <v>46070.0</v>
      </c>
      <c r="C11" s="64">
        <f t="shared" si="1"/>
        <v>2026</v>
      </c>
      <c r="D11" s="65" t="s">
        <v>65</v>
      </c>
      <c r="E11" s="68" t="str">
        <f t="shared" si="2"/>
        <v>Tuesday</v>
      </c>
      <c r="F11" s="72" t="s">
        <v>70</v>
      </c>
      <c r="G11" s="74" t="s">
        <v>55</v>
      </c>
      <c r="H11" s="77" t="s">
        <v>73</v>
      </c>
      <c r="I11" s="9"/>
    </row>
    <row r="12" ht="16.5" customHeight="1">
      <c r="A12" s="9"/>
      <c r="B12" s="61">
        <v>46078.0</v>
      </c>
      <c r="C12" s="64">
        <f t="shared" si="1"/>
        <v>2026</v>
      </c>
      <c r="D12" s="65" t="s">
        <v>78</v>
      </c>
      <c r="E12" s="68" t="str">
        <f t="shared" si="2"/>
        <v>Wednesday</v>
      </c>
      <c r="F12" s="72" t="s">
        <v>82</v>
      </c>
      <c r="G12" s="74" t="s">
        <v>84</v>
      </c>
      <c r="H12" s="77" t="s">
        <v>73</v>
      </c>
      <c r="I12" s="9"/>
    </row>
    <row r="13" ht="16.5" customHeight="1">
      <c r="A13" s="9"/>
      <c r="B13" s="61">
        <v>46114.0</v>
      </c>
      <c r="C13" s="64">
        <f t="shared" si="1"/>
        <v>2026</v>
      </c>
      <c r="D13" s="65" t="s">
        <v>85</v>
      </c>
      <c r="E13" s="68" t="str">
        <f t="shared" si="2"/>
        <v>Thursday</v>
      </c>
      <c r="F13" s="72" t="s">
        <v>48</v>
      </c>
      <c r="G13" s="74" t="s">
        <v>55</v>
      </c>
      <c r="H13" s="77" t="s">
        <v>58</v>
      </c>
      <c r="I13" s="9"/>
    </row>
    <row r="14" ht="16.5" customHeight="1">
      <c r="A14" s="9"/>
      <c r="B14" s="61">
        <v>46115.0</v>
      </c>
      <c r="C14" s="64">
        <f t="shared" si="1"/>
        <v>2026</v>
      </c>
      <c r="D14" s="65" t="s">
        <v>87</v>
      </c>
      <c r="E14" s="68" t="str">
        <f t="shared" si="2"/>
        <v>Friday</v>
      </c>
      <c r="F14" s="72" t="s">
        <v>48</v>
      </c>
      <c r="G14" s="74" t="s">
        <v>55</v>
      </c>
      <c r="H14" s="77" t="s">
        <v>58</v>
      </c>
      <c r="I14" s="9"/>
    </row>
    <row r="15" ht="16.5" customHeight="1">
      <c r="A15" s="9"/>
      <c r="B15" s="61">
        <v>46121.0</v>
      </c>
      <c r="C15" s="64">
        <f t="shared" si="1"/>
        <v>2026</v>
      </c>
      <c r="D15" s="65" t="s">
        <v>91</v>
      </c>
      <c r="E15" s="68" t="str">
        <f t="shared" si="2"/>
        <v>Thursday</v>
      </c>
      <c r="F15" s="72" t="s">
        <v>48</v>
      </c>
      <c r="G15" s="74" t="s">
        <v>55</v>
      </c>
      <c r="H15" s="77" t="s">
        <v>58</v>
      </c>
      <c r="I15" s="9"/>
    </row>
    <row r="16" ht="16.5" customHeight="1">
      <c r="A16" s="9"/>
      <c r="B16" s="61">
        <v>46143.0</v>
      </c>
      <c r="C16" s="64">
        <f t="shared" si="1"/>
        <v>2026</v>
      </c>
      <c r="D16" s="65" t="s">
        <v>94</v>
      </c>
      <c r="E16" s="68" t="str">
        <f t="shared" si="2"/>
        <v>Friday</v>
      </c>
      <c r="F16" s="72" t="s">
        <v>48</v>
      </c>
      <c r="G16" s="74" t="s">
        <v>55</v>
      </c>
      <c r="H16" s="77" t="s">
        <v>58</v>
      </c>
      <c r="I16" s="9"/>
    </row>
    <row r="17" ht="16.5" customHeight="1">
      <c r="A17" s="9"/>
      <c r="B17" s="61">
        <v>46185.0</v>
      </c>
      <c r="C17" s="64">
        <f t="shared" si="1"/>
        <v>2026</v>
      </c>
      <c r="D17" s="65" t="s">
        <v>95</v>
      </c>
      <c r="E17" s="68" t="str">
        <f t="shared" si="2"/>
        <v>Friday</v>
      </c>
      <c r="F17" s="72" t="s">
        <v>48</v>
      </c>
      <c r="G17" s="74" t="s">
        <v>55</v>
      </c>
      <c r="H17" s="77" t="s">
        <v>58</v>
      </c>
      <c r="I17" s="9"/>
    </row>
    <row r="18" ht="16.5" customHeight="1">
      <c r="A18" s="9"/>
      <c r="B18" s="61">
        <v>46255.0</v>
      </c>
      <c r="C18" s="64">
        <f t="shared" si="1"/>
        <v>2026</v>
      </c>
      <c r="D18" s="65" t="s">
        <v>98</v>
      </c>
      <c r="E18" s="68" t="str">
        <f t="shared" si="2"/>
        <v>Friday</v>
      </c>
      <c r="F18" s="72" t="s">
        <v>70</v>
      </c>
      <c r="G18" s="74" t="s">
        <v>55</v>
      </c>
      <c r="H18" s="77" t="s">
        <v>99</v>
      </c>
      <c r="I18" s="9"/>
    </row>
    <row r="19" ht="16.5" customHeight="1">
      <c r="A19" s="9"/>
      <c r="B19" s="61">
        <v>46265.0</v>
      </c>
      <c r="C19" s="64">
        <f t="shared" si="1"/>
        <v>2026</v>
      </c>
      <c r="D19" s="65" t="s">
        <v>100</v>
      </c>
      <c r="E19" s="68" t="str">
        <f t="shared" si="2"/>
        <v>Monday</v>
      </c>
      <c r="F19" s="72" t="s">
        <v>48</v>
      </c>
      <c r="G19" s="74" t="s">
        <v>55</v>
      </c>
      <c r="H19" s="77" t="s">
        <v>58</v>
      </c>
      <c r="I19" s="9"/>
    </row>
    <row r="20" ht="16.5" customHeight="1">
      <c r="A20" s="9"/>
      <c r="B20" s="61">
        <v>46327.0</v>
      </c>
      <c r="C20" s="64">
        <f t="shared" si="1"/>
        <v>2026</v>
      </c>
      <c r="D20" s="65" t="s">
        <v>101</v>
      </c>
      <c r="E20" s="68" t="str">
        <f t="shared" si="2"/>
        <v>Sunday</v>
      </c>
      <c r="F20" s="72" t="s">
        <v>70</v>
      </c>
      <c r="G20" s="74" t="s">
        <v>55</v>
      </c>
      <c r="H20" s="77" t="s">
        <v>58</v>
      </c>
      <c r="I20" s="9"/>
    </row>
    <row r="21" ht="16.5" customHeight="1">
      <c r="A21" s="9"/>
      <c r="B21" s="61">
        <v>46328.0</v>
      </c>
      <c r="C21" s="64">
        <f t="shared" si="1"/>
        <v>2026</v>
      </c>
      <c r="D21" s="65" t="s">
        <v>103</v>
      </c>
      <c r="E21" s="68" t="str">
        <f t="shared" si="2"/>
        <v>Monday</v>
      </c>
      <c r="F21" s="72" t="s">
        <v>70</v>
      </c>
      <c r="G21" s="74" t="s">
        <v>55</v>
      </c>
      <c r="H21" s="77" t="s">
        <v>73</v>
      </c>
      <c r="I21" s="9"/>
    </row>
    <row r="22" ht="16.5" customHeight="1">
      <c r="A22" s="9"/>
      <c r="B22" s="61">
        <v>46356.0</v>
      </c>
      <c r="C22" s="64">
        <f t="shared" si="1"/>
        <v>2026</v>
      </c>
      <c r="D22" s="65" t="s">
        <v>104</v>
      </c>
      <c r="E22" s="68" t="str">
        <f t="shared" si="2"/>
        <v>Monday</v>
      </c>
      <c r="F22" s="72" t="s">
        <v>48</v>
      </c>
      <c r="G22" s="74" t="s">
        <v>55</v>
      </c>
      <c r="H22" s="77" t="s">
        <v>58</v>
      </c>
      <c r="I22" s="9"/>
    </row>
    <row r="23" ht="16.5" customHeight="1">
      <c r="A23" s="9"/>
      <c r="B23" s="61">
        <v>46364.0</v>
      </c>
      <c r="C23" s="64">
        <f t="shared" si="1"/>
        <v>2026</v>
      </c>
      <c r="D23" s="65" t="s">
        <v>105</v>
      </c>
      <c r="E23" s="68" t="str">
        <f t="shared" si="2"/>
        <v>Tuesday</v>
      </c>
      <c r="F23" s="72" t="s">
        <v>70</v>
      </c>
      <c r="G23" s="74" t="s">
        <v>55</v>
      </c>
      <c r="H23" s="77" t="s">
        <v>106</v>
      </c>
      <c r="I23" s="9"/>
    </row>
    <row r="24" ht="16.5" customHeight="1">
      <c r="A24" s="9"/>
      <c r="B24" s="61">
        <v>46380.0</v>
      </c>
      <c r="C24" s="64">
        <f t="shared" si="1"/>
        <v>2026</v>
      </c>
      <c r="D24" s="65" t="s">
        <v>107</v>
      </c>
      <c r="E24" s="68" t="str">
        <f t="shared" si="2"/>
        <v>Thursday</v>
      </c>
      <c r="F24" s="72" t="s">
        <v>70</v>
      </c>
      <c r="G24" s="74" t="s">
        <v>55</v>
      </c>
      <c r="H24" s="77" t="s">
        <v>73</v>
      </c>
      <c r="I24" s="9"/>
    </row>
    <row r="25" ht="16.5" customHeight="1">
      <c r="A25" s="9"/>
      <c r="B25" s="61">
        <v>46381.0</v>
      </c>
      <c r="C25" s="64">
        <f t="shared" si="1"/>
        <v>2026</v>
      </c>
      <c r="D25" s="65" t="s">
        <v>110</v>
      </c>
      <c r="E25" s="68" t="str">
        <f t="shared" si="2"/>
        <v>Friday</v>
      </c>
      <c r="F25" s="72" t="s">
        <v>48</v>
      </c>
      <c r="G25" s="74" t="s">
        <v>55</v>
      </c>
      <c r="H25" s="77" t="s">
        <v>58</v>
      </c>
      <c r="I25" s="9"/>
    </row>
    <row r="26" ht="16.5" customHeight="1">
      <c r="A26" s="9"/>
      <c r="B26" s="61">
        <v>46386.0</v>
      </c>
      <c r="C26" s="64">
        <f t="shared" si="1"/>
        <v>2026</v>
      </c>
      <c r="D26" s="65" t="s">
        <v>111</v>
      </c>
      <c r="E26" s="68" t="str">
        <f t="shared" si="2"/>
        <v>Wednesday</v>
      </c>
      <c r="F26" s="72" t="s">
        <v>48</v>
      </c>
      <c r="G26" s="74" t="s">
        <v>55</v>
      </c>
      <c r="H26" s="77" t="s">
        <v>58</v>
      </c>
      <c r="I26" s="9"/>
    </row>
    <row r="27" ht="16.5" customHeight="1">
      <c r="A27" s="9"/>
      <c r="B27" s="61">
        <v>46388.0</v>
      </c>
      <c r="C27" s="64">
        <f t="shared" si="1"/>
        <v>2027</v>
      </c>
      <c r="D27" s="65" t="s">
        <v>45</v>
      </c>
      <c r="E27" s="68" t="str">
        <f t="shared" si="2"/>
        <v>Friday</v>
      </c>
      <c r="F27" s="72" t="s">
        <v>48</v>
      </c>
      <c r="G27" s="74" t="s">
        <v>55</v>
      </c>
      <c r="H27" s="77" t="s">
        <v>114</v>
      </c>
      <c r="I27" s="9"/>
    </row>
    <row r="28" ht="16.5" customHeight="1">
      <c r="A28" s="9"/>
      <c r="B28" s="61">
        <v>46424.0</v>
      </c>
      <c r="C28" s="64">
        <f t="shared" si="1"/>
        <v>2027</v>
      </c>
      <c r="D28" s="65" t="s">
        <v>65</v>
      </c>
      <c r="E28" s="68" t="str">
        <f t="shared" si="2"/>
        <v>Saturday</v>
      </c>
      <c r="F28" s="72" t="s">
        <v>70</v>
      </c>
      <c r="G28" s="74" t="s">
        <v>55</v>
      </c>
      <c r="H28" s="77" t="s">
        <v>114</v>
      </c>
      <c r="I28" s="9"/>
    </row>
    <row r="29" ht="16.5" customHeight="1">
      <c r="A29" s="9"/>
      <c r="B29" s="61">
        <v>46443.0</v>
      </c>
      <c r="C29" s="64">
        <f t="shared" si="1"/>
        <v>2027</v>
      </c>
      <c r="D29" s="65" t="s">
        <v>78</v>
      </c>
      <c r="E29" s="68" t="str">
        <f t="shared" si="2"/>
        <v>Thursday</v>
      </c>
      <c r="F29" s="72" t="s">
        <v>82</v>
      </c>
      <c r="G29" s="74" t="s">
        <v>84</v>
      </c>
      <c r="H29" s="77" t="s">
        <v>114</v>
      </c>
      <c r="I29" s="9"/>
    </row>
    <row r="30" ht="16.5" customHeight="1">
      <c r="A30" s="9"/>
      <c r="B30" s="61">
        <v>46471.0</v>
      </c>
      <c r="C30" s="64">
        <f t="shared" si="1"/>
        <v>2027</v>
      </c>
      <c r="D30" s="65" t="s">
        <v>85</v>
      </c>
      <c r="E30" s="68" t="str">
        <f t="shared" si="2"/>
        <v>Thursday</v>
      </c>
      <c r="F30" s="72" t="s">
        <v>48</v>
      </c>
      <c r="G30" s="74" t="s">
        <v>55</v>
      </c>
      <c r="H30" s="77" t="s">
        <v>114</v>
      </c>
      <c r="I30" s="9"/>
    </row>
    <row r="31" ht="16.5" customHeight="1">
      <c r="A31" s="9"/>
      <c r="B31" s="61">
        <v>46472.0</v>
      </c>
      <c r="C31" s="64">
        <f t="shared" si="1"/>
        <v>2027</v>
      </c>
      <c r="D31" s="65" t="s">
        <v>87</v>
      </c>
      <c r="E31" s="68" t="str">
        <f t="shared" si="2"/>
        <v>Friday</v>
      </c>
      <c r="F31" s="72" t="s">
        <v>48</v>
      </c>
      <c r="G31" s="74" t="s">
        <v>55</v>
      </c>
      <c r="H31" s="77" t="s">
        <v>114</v>
      </c>
      <c r="I31" s="9"/>
    </row>
    <row r="32" ht="16.5" customHeight="1">
      <c r="A32" s="9"/>
      <c r="B32" s="61">
        <v>46486.0</v>
      </c>
      <c r="C32" s="64">
        <f t="shared" si="1"/>
        <v>2027</v>
      </c>
      <c r="D32" s="65" t="s">
        <v>91</v>
      </c>
      <c r="E32" s="68" t="str">
        <f t="shared" si="2"/>
        <v>Friday</v>
      </c>
      <c r="F32" s="72" t="s">
        <v>48</v>
      </c>
      <c r="G32" s="74" t="s">
        <v>55</v>
      </c>
      <c r="H32" s="77" t="s">
        <v>114</v>
      </c>
      <c r="I32" s="9"/>
    </row>
    <row r="33" ht="16.5" customHeight="1">
      <c r="A33" s="9"/>
      <c r="B33" s="61">
        <v>46508.0</v>
      </c>
      <c r="C33" s="64">
        <f t="shared" si="1"/>
        <v>2027</v>
      </c>
      <c r="D33" s="65" t="s">
        <v>94</v>
      </c>
      <c r="E33" s="68" t="str">
        <f t="shared" si="2"/>
        <v>Saturday</v>
      </c>
      <c r="F33" s="72" t="s">
        <v>48</v>
      </c>
      <c r="G33" s="74" t="s">
        <v>55</v>
      </c>
      <c r="H33" s="77" t="s">
        <v>114</v>
      </c>
      <c r="I33" s="9"/>
    </row>
    <row r="34" ht="16.5" customHeight="1">
      <c r="A34" s="9"/>
      <c r="B34" s="61">
        <v>46550.0</v>
      </c>
      <c r="C34" s="64">
        <f t="shared" si="1"/>
        <v>2027</v>
      </c>
      <c r="D34" s="65" t="s">
        <v>95</v>
      </c>
      <c r="E34" s="68" t="str">
        <f t="shared" si="2"/>
        <v>Saturday</v>
      </c>
      <c r="F34" s="72" t="s">
        <v>48</v>
      </c>
      <c r="G34" s="74" t="s">
        <v>55</v>
      </c>
      <c r="H34" s="77" t="s">
        <v>114</v>
      </c>
      <c r="I34" s="9"/>
    </row>
    <row r="35" ht="16.5" customHeight="1">
      <c r="A35" s="9"/>
      <c r="B35" s="61">
        <v>46620.0</v>
      </c>
      <c r="C35" s="64">
        <f t="shared" si="1"/>
        <v>2027</v>
      </c>
      <c r="D35" s="65" t="s">
        <v>98</v>
      </c>
      <c r="E35" s="68" t="str">
        <f t="shared" si="2"/>
        <v>Saturday</v>
      </c>
      <c r="F35" s="72" t="s">
        <v>70</v>
      </c>
      <c r="G35" s="74" t="s">
        <v>55</v>
      </c>
      <c r="H35" s="77" t="s">
        <v>114</v>
      </c>
      <c r="I35" s="9"/>
    </row>
    <row r="36" ht="16.5" customHeight="1">
      <c r="A36" s="9"/>
      <c r="B36" s="61">
        <v>46629.0</v>
      </c>
      <c r="C36" s="64">
        <f t="shared" si="1"/>
        <v>2027</v>
      </c>
      <c r="D36" s="65" t="s">
        <v>100</v>
      </c>
      <c r="E36" s="68" t="str">
        <f t="shared" si="2"/>
        <v>Monday</v>
      </c>
      <c r="F36" s="72" t="s">
        <v>48</v>
      </c>
      <c r="G36" s="74" t="s">
        <v>55</v>
      </c>
      <c r="H36" s="77" t="s">
        <v>114</v>
      </c>
      <c r="I36" s="9"/>
    </row>
    <row r="37" ht="16.5" customHeight="1">
      <c r="A37" s="9"/>
      <c r="B37" s="61">
        <v>46692.0</v>
      </c>
      <c r="C37" s="64">
        <f t="shared" si="1"/>
        <v>2027</v>
      </c>
      <c r="D37" s="65" t="s">
        <v>101</v>
      </c>
      <c r="E37" s="68" t="str">
        <f t="shared" si="2"/>
        <v>Monday</v>
      </c>
      <c r="F37" s="72" t="s">
        <v>70</v>
      </c>
      <c r="G37" s="74" t="s">
        <v>55</v>
      </c>
      <c r="H37" s="77" t="s">
        <v>114</v>
      </c>
      <c r="I37" s="9"/>
    </row>
    <row r="38" ht="16.5" customHeight="1">
      <c r="A38" s="9"/>
      <c r="B38" s="61">
        <v>46693.0</v>
      </c>
      <c r="C38" s="64">
        <f t="shared" si="1"/>
        <v>2027</v>
      </c>
      <c r="D38" s="65" t="s">
        <v>103</v>
      </c>
      <c r="E38" s="68" t="str">
        <f t="shared" si="2"/>
        <v>Tuesday</v>
      </c>
      <c r="F38" s="72" t="s">
        <v>70</v>
      </c>
      <c r="G38" s="74" t="s">
        <v>55</v>
      </c>
      <c r="H38" s="77" t="s">
        <v>114</v>
      </c>
      <c r="I38" s="9"/>
    </row>
    <row r="39" ht="16.5" customHeight="1">
      <c r="A39" s="9"/>
      <c r="B39" s="61">
        <v>46721.0</v>
      </c>
      <c r="C39" s="64">
        <f t="shared" si="1"/>
        <v>2027</v>
      </c>
      <c r="D39" s="65" t="s">
        <v>104</v>
      </c>
      <c r="E39" s="68" t="str">
        <f t="shared" si="2"/>
        <v>Tuesday</v>
      </c>
      <c r="F39" s="72" t="s">
        <v>48</v>
      </c>
      <c r="G39" s="74" t="s">
        <v>55</v>
      </c>
      <c r="H39" s="77" t="s">
        <v>114</v>
      </c>
      <c r="I39" s="9"/>
    </row>
    <row r="40" ht="16.5" customHeight="1">
      <c r="A40" s="9"/>
      <c r="B40" s="61">
        <v>46729.0</v>
      </c>
      <c r="C40" s="64">
        <f t="shared" si="1"/>
        <v>2027</v>
      </c>
      <c r="D40" s="65" t="s">
        <v>105</v>
      </c>
      <c r="E40" s="68" t="str">
        <f t="shared" si="2"/>
        <v>Wednesday</v>
      </c>
      <c r="F40" s="72" t="s">
        <v>70</v>
      </c>
      <c r="G40" s="74" t="s">
        <v>55</v>
      </c>
      <c r="H40" s="77" t="s">
        <v>124</v>
      </c>
      <c r="I40" s="9"/>
    </row>
    <row r="41" ht="16.5" customHeight="1">
      <c r="A41" s="9"/>
      <c r="B41" s="61">
        <v>46745.0</v>
      </c>
      <c r="C41" s="64">
        <f t="shared" si="1"/>
        <v>2027</v>
      </c>
      <c r="D41" s="65" t="s">
        <v>107</v>
      </c>
      <c r="E41" s="68" t="str">
        <f t="shared" si="2"/>
        <v>Friday</v>
      </c>
      <c r="F41" s="72" t="s">
        <v>70</v>
      </c>
      <c r="G41" s="74" t="s">
        <v>55</v>
      </c>
      <c r="H41" s="77" t="s">
        <v>114</v>
      </c>
      <c r="I41" s="9"/>
    </row>
    <row r="42" ht="16.5" customHeight="1">
      <c r="A42" s="9"/>
      <c r="B42" s="61">
        <v>46746.0</v>
      </c>
      <c r="C42" s="64">
        <f t="shared" si="1"/>
        <v>2027</v>
      </c>
      <c r="D42" s="65" t="s">
        <v>110</v>
      </c>
      <c r="E42" s="68" t="str">
        <f t="shared" si="2"/>
        <v>Saturday</v>
      </c>
      <c r="F42" s="72" t="s">
        <v>48</v>
      </c>
      <c r="G42" s="74" t="s">
        <v>55</v>
      </c>
      <c r="H42" s="77" t="s">
        <v>114</v>
      </c>
      <c r="I42" s="9"/>
    </row>
    <row r="43" ht="16.5" customHeight="1">
      <c r="A43" s="9"/>
      <c r="B43" s="61">
        <v>46751.0</v>
      </c>
      <c r="C43" s="64">
        <f t="shared" si="1"/>
        <v>2027</v>
      </c>
      <c r="D43" s="65" t="s">
        <v>111</v>
      </c>
      <c r="E43" s="68" t="str">
        <f t="shared" si="2"/>
        <v>Thursday</v>
      </c>
      <c r="F43" s="72" t="s">
        <v>48</v>
      </c>
      <c r="G43" s="74" t="s">
        <v>55</v>
      </c>
      <c r="H43" s="77" t="s">
        <v>114</v>
      </c>
      <c r="I43" s="9"/>
    </row>
    <row r="44" ht="16.5" customHeight="1">
      <c r="A44" s="9"/>
      <c r="B44" s="61">
        <v>46753.0</v>
      </c>
      <c r="C44" s="64">
        <f t="shared" si="1"/>
        <v>2028</v>
      </c>
      <c r="D44" s="65" t="s">
        <v>45</v>
      </c>
      <c r="E44" s="68" t="str">
        <f t="shared" si="2"/>
        <v>Saturday</v>
      </c>
      <c r="F44" s="72" t="s">
        <v>48</v>
      </c>
      <c r="G44" s="74" t="s">
        <v>55</v>
      </c>
      <c r="H44" s="77" t="s">
        <v>58</v>
      </c>
      <c r="I44" s="9"/>
    </row>
    <row r="45" ht="16.5" customHeight="1">
      <c r="A45" s="9"/>
      <c r="B45" s="61">
        <v>46778.0</v>
      </c>
      <c r="C45" s="64">
        <f t="shared" si="1"/>
        <v>2028</v>
      </c>
      <c r="D45" s="65" t="s">
        <v>65</v>
      </c>
      <c r="E45" s="68" t="str">
        <f t="shared" si="2"/>
        <v>Wednesday</v>
      </c>
      <c r="F45" s="72" t="s">
        <v>70</v>
      </c>
      <c r="G45" s="74" t="s">
        <v>55</v>
      </c>
      <c r="H45" s="77" t="s">
        <v>73</v>
      </c>
      <c r="I45" s="9"/>
    </row>
    <row r="46" ht="16.5" customHeight="1">
      <c r="A46" s="9"/>
      <c r="B46" s="61">
        <v>46808.0</v>
      </c>
      <c r="C46" s="64">
        <f t="shared" si="1"/>
        <v>2028</v>
      </c>
      <c r="D46" s="65" t="s">
        <v>78</v>
      </c>
      <c r="E46" s="68" t="str">
        <f t="shared" si="2"/>
        <v>Friday</v>
      </c>
      <c r="F46" s="72" t="s">
        <v>82</v>
      </c>
      <c r="G46" s="74" t="s">
        <v>84</v>
      </c>
      <c r="H46" s="77" t="s">
        <v>73</v>
      </c>
      <c r="I46" s="9"/>
    </row>
    <row r="47" ht="16.5" customHeight="1">
      <c r="A47" s="9"/>
      <c r="B47" s="61">
        <v>46852.0</v>
      </c>
      <c r="C47" s="64">
        <f t="shared" si="1"/>
        <v>2028</v>
      </c>
      <c r="D47" s="65" t="s">
        <v>91</v>
      </c>
      <c r="E47" s="68" t="str">
        <f t="shared" si="2"/>
        <v>Sunday</v>
      </c>
      <c r="F47" s="72" t="s">
        <v>48</v>
      </c>
      <c r="G47" s="74" t="s">
        <v>55</v>
      </c>
      <c r="H47" s="77" t="s">
        <v>58</v>
      </c>
      <c r="I47" s="9"/>
    </row>
    <row r="48" ht="16.5" customHeight="1">
      <c r="A48" s="9"/>
      <c r="B48" s="61">
        <v>46856.0</v>
      </c>
      <c r="C48" s="64">
        <f t="shared" si="1"/>
        <v>2028</v>
      </c>
      <c r="D48" s="65" t="s">
        <v>85</v>
      </c>
      <c r="E48" s="68" t="str">
        <f t="shared" si="2"/>
        <v>Thursday</v>
      </c>
      <c r="F48" s="72" t="s">
        <v>48</v>
      </c>
      <c r="G48" s="74" t="s">
        <v>55</v>
      </c>
      <c r="H48" s="77" t="s">
        <v>58</v>
      </c>
      <c r="I48" s="9"/>
    </row>
    <row r="49" ht="16.5" customHeight="1">
      <c r="A49" s="9"/>
      <c r="B49" s="61">
        <v>46857.0</v>
      </c>
      <c r="C49" s="64">
        <f t="shared" si="1"/>
        <v>2028</v>
      </c>
      <c r="D49" s="65" t="s">
        <v>87</v>
      </c>
      <c r="E49" s="68" t="str">
        <f t="shared" si="2"/>
        <v>Friday</v>
      </c>
      <c r="F49" s="72" t="s">
        <v>48</v>
      </c>
      <c r="G49" s="74" t="s">
        <v>55</v>
      </c>
      <c r="H49" s="77" t="s">
        <v>58</v>
      </c>
      <c r="I49" s="9"/>
    </row>
    <row r="50" ht="16.5" customHeight="1">
      <c r="A50" s="9"/>
      <c r="B50" s="61">
        <v>46874.0</v>
      </c>
      <c r="C50" s="64">
        <f t="shared" si="1"/>
        <v>2028</v>
      </c>
      <c r="D50" s="65" t="s">
        <v>94</v>
      </c>
      <c r="E50" s="68" t="str">
        <f t="shared" si="2"/>
        <v>Monday</v>
      </c>
      <c r="F50" s="72" t="s">
        <v>48</v>
      </c>
      <c r="G50" s="74" t="s">
        <v>55</v>
      </c>
      <c r="H50" s="77" t="s">
        <v>58</v>
      </c>
      <c r="I50" s="9"/>
    </row>
    <row r="51" ht="16.5" customHeight="1">
      <c r="A51" s="9"/>
      <c r="B51" s="61">
        <v>46916.0</v>
      </c>
      <c r="C51" s="64">
        <f t="shared" si="1"/>
        <v>2028</v>
      </c>
      <c r="D51" s="65" t="s">
        <v>95</v>
      </c>
      <c r="E51" s="68" t="str">
        <f t="shared" si="2"/>
        <v>Monday</v>
      </c>
      <c r="F51" s="72" t="s">
        <v>48</v>
      </c>
      <c r="G51" s="74" t="s">
        <v>55</v>
      </c>
      <c r="H51" s="77" t="s">
        <v>58</v>
      </c>
      <c r="I51" s="9"/>
    </row>
    <row r="52" ht="16.5" customHeight="1">
      <c r="A52" s="9"/>
      <c r="B52" s="61">
        <v>46986.0</v>
      </c>
      <c r="C52" s="64">
        <f t="shared" si="1"/>
        <v>2028</v>
      </c>
      <c r="D52" s="65" t="s">
        <v>98</v>
      </c>
      <c r="E52" s="68" t="str">
        <f t="shared" si="2"/>
        <v>Monday</v>
      </c>
      <c r="F52" s="72" t="s">
        <v>70</v>
      </c>
      <c r="G52" s="74" t="s">
        <v>55</v>
      </c>
      <c r="H52" s="77" t="s">
        <v>99</v>
      </c>
      <c r="I52" s="9"/>
    </row>
    <row r="53" ht="16.5" customHeight="1">
      <c r="A53" s="9"/>
      <c r="B53" s="61">
        <v>46993.0</v>
      </c>
      <c r="C53" s="64">
        <f t="shared" si="1"/>
        <v>2028</v>
      </c>
      <c r="D53" s="65" t="s">
        <v>100</v>
      </c>
      <c r="E53" s="68" t="str">
        <f t="shared" si="2"/>
        <v>Monday</v>
      </c>
      <c r="F53" s="72" t="s">
        <v>48</v>
      </c>
      <c r="G53" s="74" t="s">
        <v>55</v>
      </c>
      <c r="H53" s="77" t="s">
        <v>58</v>
      </c>
      <c r="I53" s="9"/>
    </row>
    <row r="54" ht="16.5" customHeight="1">
      <c r="A54" s="9"/>
      <c r="B54" s="61">
        <v>47058.0</v>
      </c>
      <c r="C54" s="64">
        <f t="shared" si="1"/>
        <v>2028</v>
      </c>
      <c r="D54" s="65" t="s">
        <v>101</v>
      </c>
      <c r="E54" s="68" t="str">
        <f t="shared" si="2"/>
        <v>Wednesday</v>
      </c>
      <c r="F54" s="72" t="s">
        <v>70</v>
      </c>
      <c r="G54" s="74" t="s">
        <v>55</v>
      </c>
      <c r="H54" s="77" t="s">
        <v>58</v>
      </c>
      <c r="I54" s="9"/>
    </row>
    <row r="55" ht="16.5" customHeight="1">
      <c r="A55" s="9"/>
      <c r="B55" s="61">
        <v>47059.0</v>
      </c>
      <c r="C55" s="64">
        <f t="shared" si="1"/>
        <v>2028</v>
      </c>
      <c r="D55" s="65" t="s">
        <v>103</v>
      </c>
      <c r="E55" s="68" t="str">
        <f t="shared" si="2"/>
        <v>Thursday</v>
      </c>
      <c r="F55" s="72" t="s">
        <v>70</v>
      </c>
      <c r="G55" s="74" t="s">
        <v>55</v>
      </c>
      <c r="H55" s="77" t="s">
        <v>73</v>
      </c>
      <c r="I55" s="9"/>
    </row>
    <row r="56" ht="16.5" customHeight="1">
      <c r="A56" s="9"/>
      <c r="B56" s="61">
        <v>47087.0</v>
      </c>
      <c r="C56" s="64">
        <f t="shared" si="1"/>
        <v>2028</v>
      </c>
      <c r="D56" s="65" t="s">
        <v>104</v>
      </c>
      <c r="E56" s="68" t="str">
        <f t="shared" si="2"/>
        <v>Thursday</v>
      </c>
      <c r="F56" s="72" t="s">
        <v>48</v>
      </c>
      <c r="G56" s="74" t="s">
        <v>55</v>
      </c>
      <c r="H56" s="77" t="s">
        <v>58</v>
      </c>
      <c r="I56" s="9"/>
    </row>
    <row r="57" ht="16.5" customHeight="1">
      <c r="A57" s="9"/>
      <c r="B57" s="61">
        <v>47095.0</v>
      </c>
      <c r="C57" s="64">
        <f t="shared" si="1"/>
        <v>2028</v>
      </c>
      <c r="D57" s="65" t="s">
        <v>105</v>
      </c>
      <c r="E57" s="68" t="str">
        <f t="shared" si="2"/>
        <v>Friday</v>
      </c>
      <c r="F57" s="72" t="s">
        <v>70</v>
      </c>
      <c r="G57" s="74" t="s">
        <v>55</v>
      </c>
      <c r="H57" s="77" t="s">
        <v>106</v>
      </c>
      <c r="I57" s="9"/>
    </row>
    <row r="58" ht="16.5" customHeight="1">
      <c r="A58" s="9"/>
      <c r="B58" s="61">
        <v>47111.0</v>
      </c>
      <c r="C58" s="64">
        <f t="shared" si="1"/>
        <v>2028</v>
      </c>
      <c r="D58" s="65" t="s">
        <v>107</v>
      </c>
      <c r="E58" s="68" t="str">
        <f t="shared" si="2"/>
        <v>Sunday</v>
      </c>
      <c r="F58" s="72" t="s">
        <v>70</v>
      </c>
      <c r="G58" s="74" t="s">
        <v>55</v>
      </c>
      <c r="H58" s="77" t="s">
        <v>73</v>
      </c>
      <c r="I58" s="9"/>
    </row>
    <row r="59" ht="16.5" customHeight="1">
      <c r="A59" s="9"/>
      <c r="B59" s="61">
        <v>47112.0</v>
      </c>
      <c r="C59" s="64">
        <f t="shared" si="1"/>
        <v>2028</v>
      </c>
      <c r="D59" s="65" t="s">
        <v>110</v>
      </c>
      <c r="E59" s="68" t="str">
        <f t="shared" si="2"/>
        <v>Monday</v>
      </c>
      <c r="F59" s="72" t="s">
        <v>48</v>
      </c>
      <c r="G59" s="74" t="s">
        <v>55</v>
      </c>
      <c r="H59" s="77" t="s">
        <v>58</v>
      </c>
      <c r="I59" s="9"/>
    </row>
    <row r="60" ht="16.5" customHeight="1">
      <c r="A60" s="9"/>
      <c r="B60" s="61">
        <v>47117.0</v>
      </c>
      <c r="C60" s="64">
        <f t="shared" si="1"/>
        <v>2028</v>
      </c>
      <c r="D60" s="65" t="s">
        <v>111</v>
      </c>
      <c r="E60" s="68" t="str">
        <f t="shared" si="2"/>
        <v>Saturday</v>
      </c>
      <c r="F60" s="72" t="s">
        <v>48</v>
      </c>
      <c r="G60" s="74" t="s">
        <v>55</v>
      </c>
      <c r="H60" s="77" t="s">
        <v>58</v>
      </c>
      <c r="I60" s="9"/>
    </row>
    <row r="61" ht="16.5" customHeight="1">
      <c r="A61" s="9"/>
      <c r="B61" s="61">
        <v>47119.0</v>
      </c>
      <c r="C61" s="64">
        <f t="shared" si="1"/>
        <v>2029</v>
      </c>
      <c r="D61" s="65" t="s">
        <v>45</v>
      </c>
      <c r="E61" s="68" t="str">
        <f t="shared" si="2"/>
        <v>Monday</v>
      </c>
      <c r="F61" s="72" t="s">
        <v>48</v>
      </c>
      <c r="G61" s="74" t="s">
        <v>55</v>
      </c>
      <c r="H61" s="77" t="s">
        <v>58</v>
      </c>
      <c r="I61" s="9"/>
    </row>
    <row r="62" ht="16.5" customHeight="1">
      <c r="A62" s="9"/>
      <c r="B62" s="61">
        <v>47162.0</v>
      </c>
      <c r="C62" s="64">
        <f t="shared" si="1"/>
        <v>2029</v>
      </c>
      <c r="D62" s="65" t="s">
        <v>65</v>
      </c>
      <c r="E62" s="68" t="str">
        <f t="shared" si="2"/>
        <v>Tuesday</v>
      </c>
      <c r="F62" s="72" t="s">
        <v>70</v>
      </c>
      <c r="G62" s="74" t="s">
        <v>55</v>
      </c>
      <c r="H62" s="77" t="s">
        <v>73</v>
      </c>
      <c r="I62" s="9"/>
    </row>
    <row r="63" ht="16.5" customHeight="1">
      <c r="A63" s="9"/>
      <c r="B63" s="61">
        <v>47174.0</v>
      </c>
      <c r="C63" s="64">
        <f t="shared" si="1"/>
        <v>2029</v>
      </c>
      <c r="D63" s="65" t="s">
        <v>78</v>
      </c>
      <c r="E63" s="68" t="str">
        <f t="shared" si="2"/>
        <v>Sunday</v>
      </c>
      <c r="F63" s="72" t="s">
        <v>82</v>
      </c>
      <c r="G63" s="74" t="s">
        <v>84</v>
      </c>
      <c r="H63" s="77" t="s">
        <v>73</v>
      </c>
      <c r="I63" s="9"/>
    </row>
    <row r="64" ht="16.5" customHeight="1">
      <c r="A64" s="9"/>
      <c r="B64" s="61">
        <v>47206.0</v>
      </c>
      <c r="C64" s="64">
        <f t="shared" si="1"/>
        <v>2029</v>
      </c>
      <c r="D64" s="65" t="s">
        <v>85</v>
      </c>
      <c r="E64" s="68" t="str">
        <f t="shared" si="2"/>
        <v>Thursday</v>
      </c>
      <c r="F64" s="72" t="s">
        <v>48</v>
      </c>
      <c r="G64" s="74" t="s">
        <v>55</v>
      </c>
      <c r="H64" s="77" t="s">
        <v>58</v>
      </c>
      <c r="I64" s="9"/>
    </row>
    <row r="65" ht="16.5" customHeight="1">
      <c r="A65" s="9"/>
      <c r="B65" s="61">
        <v>47207.0</v>
      </c>
      <c r="C65" s="64">
        <f t="shared" si="1"/>
        <v>2029</v>
      </c>
      <c r="D65" s="65" t="s">
        <v>87</v>
      </c>
      <c r="E65" s="68" t="str">
        <f t="shared" si="2"/>
        <v>Friday</v>
      </c>
      <c r="F65" s="72" t="s">
        <v>48</v>
      </c>
      <c r="G65" s="74" t="s">
        <v>55</v>
      </c>
      <c r="H65" s="77" t="s">
        <v>58</v>
      </c>
      <c r="I65" s="9"/>
    </row>
    <row r="66" ht="16.5" customHeight="1">
      <c r="A66" s="9"/>
      <c r="B66" s="61">
        <v>47217.0</v>
      </c>
      <c r="C66" s="64">
        <f t="shared" si="1"/>
        <v>2029</v>
      </c>
      <c r="D66" s="65" t="s">
        <v>91</v>
      </c>
      <c r="E66" s="68" t="str">
        <f t="shared" si="2"/>
        <v>Monday</v>
      </c>
      <c r="F66" s="72" t="s">
        <v>48</v>
      </c>
      <c r="G66" s="74" t="s">
        <v>55</v>
      </c>
      <c r="H66" s="77" t="s">
        <v>58</v>
      </c>
      <c r="I66" s="9"/>
    </row>
    <row r="67" ht="16.5" customHeight="1">
      <c r="A67" s="9"/>
      <c r="B67" s="61">
        <v>47239.0</v>
      </c>
      <c r="C67" s="64">
        <f t="shared" si="1"/>
        <v>2029</v>
      </c>
      <c r="D67" s="65" t="s">
        <v>94</v>
      </c>
      <c r="E67" s="68" t="str">
        <f t="shared" si="2"/>
        <v>Tuesday</v>
      </c>
      <c r="F67" s="72" t="s">
        <v>48</v>
      </c>
      <c r="G67" s="74" t="s">
        <v>55</v>
      </c>
      <c r="H67" s="77" t="s">
        <v>58</v>
      </c>
      <c r="I67" s="9"/>
    </row>
    <row r="68" ht="16.5" customHeight="1">
      <c r="A68" s="9"/>
      <c r="B68" s="61">
        <v>47281.0</v>
      </c>
      <c r="C68" s="64">
        <f t="shared" si="1"/>
        <v>2029</v>
      </c>
      <c r="D68" s="65" t="s">
        <v>95</v>
      </c>
      <c r="E68" s="68" t="str">
        <f t="shared" si="2"/>
        <v>Tuesday</v>
      </c>
      <c r="F68" s="72" t="s">
        <v>48</v>
      </c>
      <c r="G68" s="74" t="s">
        <v>55</v>
      </c>
      <c r="H68" s="77" t="s">
        <v>58</v>
      </c>
      <c r="I68" s="9"/>
    </row>
    <row r="69" ht="16.5" customHeight="1">
      <c r="A69" s="9"/>
      <c r="B69" s="61">
        <v>47351.0</v>
      </c>
      <c r="C69" s="64">
        <f t="shared" si="1"/>
        <v>2029</v>
      </c>
      <c r="D69" s="65" t="s">
        <v>98</v>
      </c>
      <c r="E69" s="68" t="str">
        <f t="shared" si="2"/>
        <v>Tuesday</v>
      </c>
      <c r="F69" s="72" t="s">
        <v>70</v>
      </c>
      <c r="G69" s="74" t="s">
        <v>55</v>
      </c>
      <c r="H69" s="77" t="s">
        <v>99</v>
      </c>
      <c r="I69" s="9"/>
    </row>
    <row r="70" ht="16.5" customHeight="1">
      <c r="A70" s="9"/>
      <c r="B70" s="61">
        <v>47357.0</v>
      </c>
      <c r="C70" s="64">
        <f t="shared" si="1"/>
        <v>2029</v>
      </c>
      <c r="D70" s="65" t="s">
        <v>100</v>
      </c>
      <c r="E70" s="68" t="str">
        <f t="shared" si="2"/>
        <v>Monday</v>
      </c>
      <c r="F70" s="72" t="s">
        <v>48</v>
      </c>
      <c r="G70" s="74" t="s">
        <v>55</v>
      </c>
      <c r="H70" s="77" t="s">
        <v>58</v>
      </c>
      <c r="I70" s="9"/>
    </row>
    <row r="71" ht="16.5" customHeight="1">
      <c r="A71" s="9"/>
      <c r="B71" s="61">
        <v>47423.0</v>
      </c>
      <c r="C71" s="64">
        <f t="shared" si="1"/>
        <v>2029</v>
      </c>
      <c r="D71" s="65" t="s">
        <v>101</v>
      </c>
      <c r="E71" s="68" t="str">
        <f t="shared" si="2"/>
        <v>Thursday</v>
      </c>
      <c r="F71" s="72" t="s">
        <v>70</v>
      </c>
      <c r="G71" s="74" t="s">
        <v>55</v>
      </c>
      <c r="H71" s="77" t="s">
        <v>58</v>
      </c>
      <c r="I71" s="9"/>
    </row>
    <row r="72" ht="16.5" customHeight="1">
      <c r="A72" s="9"/>
      <c r="B72" s="61">
        <v>47424.0</v>
      </c>
      <c r="C72" s="64">
        <f t="shared" si="1"/>
        <v>2029</v>
      </c>
      <c r="D72" s="65" t="s">
        <v>103</v>
      </c>
      <c r="E72" s="68" t="str">
        <f t="shared" si="2"/>
        <v>Friday</v>
      </c>
      <c r="F72" s="72" t="s">
        <v>70</v>
      </c>
      <c r="G72" s="74" t="s">
        <v>55</v>
      </c>
      <c r="H72" s="77" t="s">
        <v>73</v>
      </c>
      <c r="I72" s="9"/>
    </row>
    <row r="73" ht="16.5" customHeight="1">
      <c r="A73" s="9"/>
      <c r="B73" s="61">
        <v>47452.0</v>
      </c>
      <c r="C73" s="64">
        <f t="shared" si="1"/>
        <v>2029</v>
      </c>
      <c r="D73" s="65" t="s">
        <v>104</v>
      </c>
      <c r="E73" s="68" t="str">
        <f t="shared" si="2"/>
        <v>Friday</v>
      </c>
      <c r="F73" s="72" t="s">
        <v>48</v>
      </c>
      <c r="G73" s="74" t="s">
        <v>55</v>
      </c>
      <c r="H73" s="77" t="s">
        <v>58</v>
      </c>
      <c r="I73" s="9"/>
    </row>
    <row r="74" ht="16.5" customHeight="1">
      <c r="A74" s="9"/>
      <c r="B74" s="61">
        <v>47460.0</v>
      </c>
      <c r="C74" s="64">
        <f t="shared" si="1"/>
        <v>2029</v>
      </c>
      <c r="D74" s="65" t="s">
        <v>105</v>
      </c>
      <c r="E74" s="68" t="str">
        <f t="shared" si="2"/>
        <v>Saturday</v>
      </c>
      <c r="F74" s="72" t="s">
        <v>70</v>
      </c>
      <c r="G74" s="74" t="s">
        <v>55</v>
      </c>
      <c r="H74" s="77" t="s">
        <v>106</v>
      </c>
      <c r="I74" s="9"/>
    </row>
    <row r="75" ht="16.5" customHeight="1">
      <c r="A75" s="9"/>
      <c r="B75" s="61">
        <v>47476.0</v>
      </c>
      <c r="C75" s="64">
        <f t="shared" si="1"/>
        <v>2029</v>
      </c>
      <c r="D75" s="65" t="s">
        <v>107</v>
      </c>
      <c r="E75" s="68" t="str">
        <f t="shared" si="2"/>
        <v>Monday</v>
      </c>
      <c r="F75" s="72" t="s">
        <v>70</v>
      </c>
      <c r="G75" s="74" t="s">
        <v>55</v>
      </c>
      <c r="H75" s="77" t="s">
        <v>73</v>
      </c>
      <c r="I75" s="9"/>
    </row>
    <row r="76" ht="16.5" customHeight="1">
      <c r="A76" s="9"/>
      <c r="B76" s="61">
        <v>47477.0</v>
      </c>
      <c r="C76" s="64">
        <f t="shared" si="1"/>
        <v>2029</v>
      </c>
      <c r="D76" s="65" t="s">
        <v>110</v>
      </c>
      <c r="E76" s="68" t="str">
        <f t="shared" si="2"/>
        <v>Tuesday</v>
      </c>
      <c r="F76" s="72" t="s">
        <v>48</v>
      </c>
      <c r="G76" s="74" t="s">
        <v>55</v>
      </c>
      <c r="H76" s="77" t="s">
        <v>58</v>
      </c>
      <c r="I76" s="9"/>
    </row>
    <row r="77" ht="16.5" customHeight="1">
      <c r="A77" s="9"/>
      <c r="B77" s="61">
        <v>47482.0</v>
      </c>
      <c r="C77" s="64">
        <f t="shared" si="1"/>
        <v>2029</v>
      </c>
      <c r="D77" s="65" t="s">
        <v>111</v>
      </c>
      <c r="E77" s="68" t="str">
        <f t="shared" si="2"/>
        <v>Sunday</v>
      </c>
      <c r="F77" s="72" t="s">
        <v>48</v>
      </c>
      <c r="G77" s="74" t="s">
        <v>55</v>
      </c>
      <c r="H77" s="77" t="s">
        <v>58</v>
      </c>
      <c r="I77" s="9"/>
    </row>
    <row r="78" ht="16.5" customHeight="1">
      <c r="A78" s="9"/>
      <c r="B78" s="61">
        <v>47484.0</v>
      </c>
      <c r="C78" s="64">
        <f t="shared" si="1"/>
        <v>2030</v>
      </c>
      <c r="D78" s="65" t="s">
        <v>45</v>
      </c>
      <c r="E78" s="68" t="str">
        <f t="shared" si="2"/>
        <v>Tuesday</v>
      </c>
      <c r="F78" s="72" t="s">
        <v>48</v>
      </c>
      <c r="G78" s="74" t="s">
        <v>55</v>
      </c>
      <c r="H78" s="77" t="s">
        <v>58</v>
      </c>
      <c r="I78" s="9"/>
    </row>
    <row r="79" ht="16.5" customHeight="1">
      <c r="A79" s="9"/>
      <c r="B79" s="61">
        <v>47517.0</v>
      </c>
      <c r="C79" s="64">
        <f t="shared" si="1"/>
        <v>2030</v>
      </c>
      <c r="D79" s="65" t="s">
        <v>65</v>
      </c>
      <c r="E79" s="68" t="str">
        <f t="shared" si="2"/>
        <v>Sunday</v>
      </c>
      <c r="F79" s="72" t="s">
        <v>70</v>
      </c>
      <c r="G79" s="74" t="s">
        <v>55</v>
      </c>
      <c r="H79" s="77" t="s">
        <v>73</v>
      </c>
      <c r="I79" s="9"/>
    </row>
    <row r="80" ht="16.5" customHeight="1">
      <c r="A80" s="9"/>
      <c r="B80" s="61">
        <v>47539.0</v>
      </c>
      <c r="C80" s="64">
        <f t="shared" si="1"/>
        <v>2030</v>
      </c>
      <c r="D80" s="65" t="s">
        <v>78</v>
      </c>
      <c r="E80" s="68" t="str">
        <f t="shared" si="2"/>
        <v>Monday</v>
      </c>
      <c r="F80" s="72" t="s">
        <v>82</v>
      </c>
      <c r="G80" s="74" t="s">
        <v>84</v>
      </c>
      <c r="H80" s="77" t="s">
        <v>73</v>
      </c>
      <c r="I80" s="9"/>
    </row>
    <row r="81" ht="16.5" customHeight="1">
      <c r="A81" s="9"/>
      <c r="B81" s="61">
        <v>47582.0</v>
      </c>
      <c r="C81" s="64">
        <f t="shared" si="1"/>
        <v>2030</v>
      </c>
      <c r="D81" s="65" t="s">
        <v>91</v>
      </c>
      <c r="E81" s="68" t="str">
        <f t="shared" si="2"/>
        <v>Tuesday</v>
      </c>
      <c r="F81" s="72" t="s">
        <v>48</v>
      </c>
      <c r="G81" s="74" t="s">
        <v>55</v>
      </c>
      <c r="H81" s="77" t="s">
        <v>58</v>
      </c>
      <c r="I81" s="9"/>
    </row>
    <row r="82" ht="16.5" customHeight="1">
      <c r="A82" s="9"/>
      <c r="B82" s="61">
        <v>47591.0</v>
      </c>
      <c r="C82" s="64">
        <f t="shared" si="1"/>
        <v>2030</v>
      </c>
      <c r="D82" s="65" t="s">
        <v>85</v>
      </c>
      <c r="E82" s="68" t="str">
        <f t="shared" si="2"/>
        <v>Thursday</v>
      </c>
      <c r="F82" s="72" t="s">
        <v>48</v>
      </c>
      <c r="G82" s="74" t="s">
        <v>55</v>
      </c>
      <c r="H82" s="77" t="s">
        <v>58</v>
      </c>
      <c r="I82" s="9"/>
    </row>
    <row r="83" ht="16.5" customHeight="1">
      <c r="A83" s="9"/>
      <c r="B83" s="61">
        <v>47592.0</v>
      </c>
      <c r="C83" s="64">
        <f t="shared" si="1"/>
        <v>2030</v>
      </c>
      <c r="D83" s="65" t="s">
        <v>87</v>
      </c>
      <c r="E83" s="68" t="str">
        <f t="shared" si="2"/>
        <v>Friday</v>
      </c>
      <c r="F83" s="72" t="s">
        <v>48</v>
      </c>
      <c r="G83" s="74" t="s">
        <v>55</v>
      </c>
      <c r="H83" s="77" t="s">
        <v>58</v>
      </c>
      <c r="I83" s="9"/>
    </row>
    <row r="84" ht="16.5" customHeight="1">
      <c r="A84" s="9"/>
      <c r="B84" s="61">
        <v>47593.0</v>
      </c>
      <c r="C84" s="64">
        <f t="shared" si="1"/>
        <v>2030</v>
      </c>
      <c r="D84" s="65" t="s">
        <v>126</v>
      </c>
      <c r="E84" s="68" t="str">
        <f t="shared" si="2"/>
        <v>Saturday</v>
      </c>
      <c r="F84" s="72" t="s">
        <v>70</v>
      </c>
      <c r="G84" s="74" t="s">
        <v>55</v>
      </c>
      <c r="H84" s="77" t="s">
        <v>73</v>
      </c>
      <c r="I84" s="9"/>
    </row>
    <row r="85" ht="16.5" customHeight="1">
      <c r="A85" s="9"/>
      <c r="B85" s="61">
        <v>47604.0</v>
      </c>
      <c r="C85" s="64">
        <f t="shared" si="1"/>
        <v>2030</v>
      </c>
      <c r="D85" s="65" t="s">
        <v>94</v>
      </c>
      <c r="E85" s="68" t="str">
        <f t="shared" si="2"/>
        <v>Wednesday</v>
      </c>
      <c r="F85" s="72" t="s">
        <v>48</v>
      </c>
      <c r="G85" s="74" t="s">
        <v>55</v>
      </c>
      <c r="H85" s="77" t="s">
        <v>58</v>
      </c>
      <c r="I85" s="9"/>
    </row>
    <row r="86" ht="16.5" customHeight="1">
      <c r="A86" s="9"/>
      <c r="B86" s="61">
        <v>47646.0</v>
      </c>
      <c r="C86" s="64">
        <f t="shared" si="1"/>
        <v>2030</v>
      </c>
      <c r="D86" s="65" t="s">
        <v>95</v>
      </c>
      <c r="E86" s="68" t="str">
        <f t="shared" si="2"/>
        <v>Wednesday</v>
      </c>
      <c r="F86" s="72" t="s">
        <v>48</v>
      </c>
      <c r="G86" s="74" t="s">
        <v>55</v>
      </c>
      <c r="H86" s="77" t="s">
        <v>58</v>
      </c>
      <c r="I86" s="9"/>
    </row>
    <row r="87" ht="16.5" customHeight="1">
      <c r="A87" s="9"/>
      <c r="B87" s="61">
        <v>47716.0</v>
      </c>
      <c r="C87" s="64">
        <f t="shared" si="1"/>
        <v>2030</v>
      </c>
      <c r="D87" s="65" t="s">
        <v>98</v>
      </c>
      <c r="E87" s="68" t="str">
        <f t="shared" si="2"/>
        <v>Wednesday</v>
      </c>
      <c r="F87" s="72" t="s">
        <v>70</v>
      </c>
      <c r="G87" s="74" t="s">
        <v>55</v>
      </c>
      <c r="H87" s="77" t="s">
        <v>99</v>
      </c>
      <c r="I87" s="9"/>
    </row>
    <row r="88" ht="16.5" customHeight="1">
      <c r="A88" s="9"/>
      <c r="B88" s="61">
        <v>47721.0</v>
      </c>
      <c r="C88" s="64">
        <f t="shared" si="1"/>
        <v>2030</v>
      </c>
      <c r="D88" s="65" t="s">
        <v>100</v>
      </c>
      <c r="E88" s="68" t="str">
        <f t="shared" si="2"/>
        <v>Monday</v>
      </c>
      <c r="F88" s="72" t="s">
        <v>48</v>
      </c>
      <c r="G88" s="74" t="s">
        <v>55</v>
      </c>
      <c r="H88" s="77" t="s">
        <v>58</v>
      </c>
      <c r="I88" s="9"/>
    </row>
    <row r="89" ht="16.5" customHeight="1">
      <c r="A89" s="9"/>
      <c r="B89" s="61">
        <v>47788.0</v>
      </c>
      <c r="C89" s="64">
        <f t="shared" si="1"/>
        <v>2030</v>
      </c>
      <c r="D89" s="65" t="s">
        <v>101</v>
      </c>
      <c r="E89" s="68" t="str">
        <f t="shared" si="2"/>
        <v>Friday</v>
      </c>
      <c r="F89" s="72" t="s">
        <v>70</v>
      </c>
      <c r="G89" s="74" t="s">
        <v>55</v>
      </c>
      <c r="H89" s="77" t="s">
        <v>58</v>
      </c>
      <c r="I89" s="9"/>
    </row>
    <row r="90" ht="16.5" customHeight="1">
      <c r="A90" s="9"/>
      <c r="B90" s="61">
        <v>47789.0</v>
      </c>
      <c r="C90" s="64">
        <f t="shared" si="1"/>
        <v>2030</v>
      </c>
      <c r="D90" s="65" t="s">
        <v>103</v>
      </c>
      <c r="E90" s="68" t="str">
        <f t="shared" si="2"/>
        <v>Saturday</v>
      </c>
      <c r="F90" s="72" t="s">
        <v>70</v>
      </c>
      <c r="G90" s="74" t="s">
        <v>55</v>
      </c>
      <c r="H90" s="77" t="s">
        <v>73</v>
      </c>
      <c r="I90" s="9"/>
    </row>
    <row r="91" ht="16.5" customHeight="1">
      <c r="A91" s="9"/>
      <c r="B91" s="61">
        <v>47817.0</v>
      </c>
      <c r="C91" s="64">
        <f t="shared" si="1"/>
        <v>2030</v>
      </c>
      <c r="D91" s="65" t="s">
        <v>104</v>
      </c>
      <c r="E91" s="68" t="str">
        <f t="shared" si="2"/>
        <v>Saturday</v>
      </c>
      <c r="F91" s="72" t="s">
        <v>48</v>
      </c>
      <c r="G91" s="74" t="s">
        <v>55</v>
      </c>
      <c r="H91" s="77" t="s">
        <v>58</v>
      </c>
      <c r="I91" s="9"/>
    </row>
    <row r="92" ht="16.5" customHeight="1">
      <c r="A92" s="9"/>
      <c r="B92" s="61">
        <v>47825.0</v>
      </c>
      <c r="C92" s="64">
        <f t="shared" si="1"/>
        <v>2030</v>
      </c>
      <c r="D92" s="65" t="s">
        <v>105</v>
      </c>
      <c r="E92" s="68" t="str">
        <f t="shared" si="2"/>
        <v>Sunday</v>
      </c>
      <c r="F92" s="72" t="s">
        <v>70</v>
      </c>
      <c r="G92" s="74" t="s">
        <v>55</v>
      </c>
      <c r="H92" s="77" t="s">
        <v>106</v>
      </c>
      <c r="I92" s="9"/>
    </row>
    <row r="93" ht="16.5" customHeight="1">
      <c r="A93" s="9"/>
      <c r="B93" s="61">
        <v>47841.0</v>
      </c>
      <c r="C93" s="64">
        <f t="shared" si="1"/>
        <v>2030</v>
      </c>
      <c r="D93" s="65" t="s">
        <v>107</v>
      </c>
      <c r="E93" s="68" t="str">
        <f t="shared" si="2"/>
        <v>Tuesday</v>
      </c>
      <c r="F93" s="72" t="s">
        <v>70</v>
      </c>
      <c r="G93" s="74" t="s">
        <v>55</v>
      </c>
      <c r="H93" s="77" t="s">
        <v>73</v>
      </c>
      <c r="I93" s="9"/>
    </row>
    <row r="94" ht="16.5" customHeight="1">
      <c r="A94" s="9"/>
      <c r="B94" s="61">
        <v>47842.0</v>
      </c>
      <c r="C94" s="64">
        <f t="shared" si="1"/>
        <v>2030</v>
      </c>
      <c r="D94" s="65" t="s">
        <v>110</v>
      </c>
      <c r="E94" s="68" t="str">
        <f t="shared" si="2"/>
        <v>Wednesday</v>
      </c>
      <c r="F94" s="72" t="s">
        <v>48</v>
      </c>
      <c r="G94" s="74" t="s">
        <v>55</v>
      </c>
      <c r="H94" s="77" t="s">
        <v>58</v>
      </c>
      <c r="I94" s="9"/>
    </row>
    <row r="95" ht="16.5" customHeight="1">
      <c r="A95" s="9"/>
      <c r="B95" s="121">
        <v>47847.0</v>
      </c>
      <c r="C95" s="122">
        <f t="shared" si="1"/>
        <v>2030</v>
      </c>
      <c r="D95" s="123" t="s">
        <v>111</v>
      </c>
      <c r="E95" s="124" t="str">
        <f t="shared" si="2"/>
        <v>Monday</v>
      </c>
      <c r="F95" s="126" t="s">
        <v>48</v>
      </c>
      <c r="G95" s="127" t="s">
        <v>55</v>
      </c>
      <c r="H95" s="128" t="s">
        <v>58</v>
      </c>
      <c r="I95" s="9"/>
    </row>
    <row r="96">
      <c r="A96" s="9"/>
      <c r="B96" s="9"/>
      <c r="C96" s="9"/>
      <c r="D96" s="9"/>
      <c r="E96" s="9"/>
      <c r="F96" s="9"/>
      <c r="G96" s="10"/>
      <c r="H96" s="9"/>
      <c r="I96" s="9"/>
    </row>
    <row r="97">
      <c r="A97" s="9"/>
      <c r="B97" s="9"/>
      <c r="C97" s="9"/>
      <c r="D97" s="9"/>
      <c r="E97" s="9"/>
      <c r="F97" s="9"/>
      <c r="G97" s="10"/>
      <c r="H97" s="9"/>
      <c r="I97" s="9"/>
    </row>
    <row r="98">
      <c r="A98" s="9"/>
      <c r="B98" s="9"/>
      <c r="C98" s="9"/>
      <c r="D98" s="9"/>
      <c r="E98" s="9"/>
      <c r="F98" s="9"/>
      <c r="G98" s="10"/>
      <c r="H98" s="9"/>
      <c r="I98" s="9"/>
    </row>
    <row r="99">
      <c r="A99" s="9"/>
      <c r="B99" s="9"/>
      <c r="C99" s="9"/>
      <c r="D99" s="9"/>
      <c r="E99" s="9"/>
      <c r="F99" s="9"/>
      <c r="G99" s="10"/>
      <c r="H99" s="9"/>
      <c r="I99" s="9"/>
    </row>
    <row r="100">
      <c r="A100" s="9"/>
      <c r="B100" s="9"/>
      <c r="C100" s="9"/>
      <c r="D100" s="9"/>
      <c r="E100" s="9"/>
      <c r="F100" s="9"/>
      <c r="G100" s="10"/>
      <c r="H100" s="9"/>
      <c r="I100" s="9"/>
    </row>
  </sheetData>
  <mergeCells count="11">
    <mergeCell ref="B5:C5"/>
    <mergeCell ref="B6:C6"/>
    <mergeCell ref="D6:E6"/>
    <mergeCell ref="F6:G6"/>
    <mergeCell ref="B2:H2"/>
    <mergeCell ref="B3:H3"/>
    <mergeCell ref="B4:C4"/>
    <mergeCell ref="D4:E4"/>
    <mergeCell ref="F4:G4"/>
    <mergeCell ref="D5:E5"/>
    <mergeCell ref="F5:G5"/>
  </mergeCells>
  <dataValidations>
    <dataValidation type="list" allowBlank="1" sqref="F10:F95">
      <formula1>"Regular Holiday,Special Non-Working Day,Special Working Day"</formula1>
    </dataValidation>
    <dataValidation type="list" allowBlank="1" sqref="G10:G95">
      <formula1>"Closed,Open"</formula1>
    </dataValidation>
  </dataValidations>
  <drawing r:id="rId1"/>
  <tableParts count="1">
    <tablePart r:id="rId3"/>
  </tableParts>
</worksheet>
</file>